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dd31e59a7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ST AI RMF Mapping" sheetId="1" r:id="Rde6f5b90bc054c5a"/>
    <x:sheet xmlns:r="http://schemas.openxmlformats.org/officeDocument/2006/relationships" name="Dashboard" sheetId="2" r:id="R66f2a5260ab44c83"/>
    <x:sheet xmlns:r="http://schemas.openxmlformats.org/officeDocument/2006/relationships" name="Framework Guide" sheetId="3" r:id="Ra6712eaf23ef46c9"/>
    <x:sheet xmlns:r="http://schemas.openxmlformats.org/officeDocument/2006/relationships" name="Lists" sheetId="4" r:id="Rd50a5da0676d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8CBA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daa45e25c4a61" /><Relationship Type="http://schemas.openxmlformats.org/officeDocument/2006/relationships/theme" Target="/xl/theme/theme1.xml" Id="R3d31acca103f4b35" /><Relationship Type="http://schemas.openxmlformats.org/officeDocument/2006/relationships/sharedStrings" Target="/xl/sharedStrings.xml" Id="Re28fe3c4a25148d1" /><Relationship Type="http://schemas.openxmlformats.org/officeDocument/2006/relationships/worksheet" Target="/xl/worksheets/sheet1.xml" Id="Rde6f5b90bc054c5a" /><Relationship Type="http://schemas.openxmlformats.org/officeDocument/2006/relationships/worksheet" Target="/xl/worksheets/sheet2.xml" Id="R66f2a5260ab44c83" /><Relationship Type="http://schemas.openxmlformats.org/officeDocument/2006/relationships/worksheet" Target="/xl/worksheets/sheet3.xml" Id="Ra6712eaf23ef46c9" /><Relationship Type="http://schemas.openxmlformats.org/officeDocument/2006/relationships/worksheet" Target="/xl/worksheets/sheet4.xml" Id="Rd50a5da0676d4a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a11f5b719048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NIST AI RMF Coverage by Function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Subcategories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Strong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'Dashboard'!$F$4:$F$7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a11f5b719048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istMappingTable" displayName="NistMappingTable" ref="A1:K73" headerRowCount="1" totalsRowCount="0" totalsRowShown="0">
  <x:tableColumns count="11">
    <x:tableColumn id="1" name="Function"/>
    <x:tableColumn id="2" name="NIST Subcategory"/>
    <x:tableColumn id="3" name="NIST Outcome (Concise)"/>
    <x:tableColumn id="4" name="Mapped ATG Control IDs"/>
    <x:tableColumn id="5" name="Coverage"/>
    <x:tableColumn id="6" name="Risk Tier Applicability"/>
    <x:tableColumn id="7" name="Mapping Rationale"/>
    <x:tableColumn id="8" name="Expected Evidence"/>
    <x:tableColumn id="9" name="Assessment Status"/>
    <x:tableColumn id="10" name="Gap / Action"/>
    <x:tableColumn id="11" name="Offici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7badc6c33342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9a71dcba4ab4c7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44" hidden="0" customWidth="1"/>
    <x:col min="4" max="4" width="42" hidden="0" customWidth="1"/>
    <x:col min="5" max="5" width="12" hidden="0" customWidth="1"/>
    <x:col min="6" max="6" width="18" hidden="0" customWidth="1"/>
    <x:col min="7" max="7" width="42" hidden="0" customWidth="1"/>
    <x:col min="8" max="8" width="42" hidden="0" customWidth="1"/>
    <x:col min="9" max="9" width="16" hidden="0" customWidth="1"/>
    <x:col min="10" max="10" width="36" hidden="0" customWidth="1"/>
    <x:col min="11" max="11" width="32" hidden="0" customWidth="1"/>
  </x:cols>
  <x:sheetData>
    <x:row r="1" ht="42" customHeight="1">
      <x:c r="A1" s="6" t="str">
        <x:v>Function</x:v>
      </x:c>
      <x:c r="B1" s="6" t="str">
        <x:v>NIST Subcategory</x:v>
      </x:c>
      <x:c r="C1" s="6" t="str">
        <x:v>NIST Outcome (Concise)</x:v>
      </x:c>
      <x:c r="D1" s="6" t="str">
        <x:v>Mapped ATG Control IDs</x:v>
      </x:c>
      <x:c r="E1" s="6" t="str">
        <x:v>Coverage</x:v>
      </x:c>
      <x:c r="F1" s="6" t="str">
        <x:v>Risk Tier Applicability</x:v>
      </x:c>
      <x:c r="G1" s="6" t="str">
        <x:v>Mapping Rationale</x:v>
      </x:c>
      <x:c r="H1" s="6" t="str">
        <x:v>Expected Evidence</x:v>
      </x:c>
      <x:c r="I1" s="6" t="str">
        <x:v>Assessment Status</x:v>
      </x:c>
      <x:c r="J1" s="6" t="str">
        <x:v>Gap / Action</x:v>
      </x:c>
      <x:c r="K1" s="6" t="str">
        <x:v>Official Source</x:v>
      </x:c>
    </x:row>
    <x:row r="2" ht="36" customHeight="1">
      <x:c r="A2" s="12" t="str">
        <x:v>GOVERN</x:v>
      </x:c>
      <x:c r="B2" s="12" t="str">
        <x:v>GOVERN 1.1</x:v>
      </x:c>
      <x:c r="C2" s="12" t="str">
        <x:v>Legal/regulatory AI requirements understood, managed and documented.</x:v>
      </x:c>
      <x:c r="D2" s="12" t="str">
        <x:v>AI-GOV-001, AI-GOV-002</x:v>
      </x:c>
      <x:c r="E2" s="12" t="str">
        <x:v>Partial</x:v>
      </x:c>
      <x:c r="F2" s="12" t="str">
        <x:v>Tier 1-4</x:v>
      </x:c>
      <x:c r="G2" s="12" t="str">
        <x:v>ATG controls support this NIST outcome through governance and accountability.</x:v>
      </x:c>
      <x:c r="H2" s="12" t="str">
        <x:v>Policy, governance minutes, RACI, AI inventory, approval records</x:v>
      </x:c>
      <x:c r="I2" s="12" t="str">
        <x:v>Not Assessed</x:v>
      </x:c>
      <x:c r="J2" s="12" t="str"/>
      <x:c r="K2" s="12" t="str">
        <x:v>https://airc.nist.gov/airmf-resources/airmf/5-sec-core/</x:v>
      </x:c>
    </x:row>
    <x:row r="3" ht="36" customHeight="1">
      <x:c r="A3" s="12" t="str">
        <x:v>GOVERN</x:v>
      </x:c>
      <x:c r="B3" s="12" t="str">
        <x:v>GOVERN 1.2</x:v>
      </x:c>
      <x:c r="C3" s="12" t="str">
        <x:v>Trustworthy AI characteristics integrated into policies, processes and practices.</x:v>
      </x:c>
      <x:c r="D3" s="12" t="str">
        <x:v>AI-GOV-001, AI-GOV-002</x:v>
      </x:c>
      <x:c r="E3" s="12" t="str">
        <x:v>Partial</x:v>
      </x:c>
      <x:c r="F3" s="12" t="str">
        <x:v>Tier 1-4</x:v>
      </x:c>
      <x:c r="G3" s="12" t="str">
        <x:v>ATG controls support this NIST outcome through governance and accountability.</x:v>
      </x:c>
      <x:c r="H3" s="12" t="str">
        <x:v>Policy, governance minutes, RACI, AI inventory, approval records</x:v>
      </x:c>
      <x:c r="I3" s="12" t="str">
        <x:v>Not Assessed</x:v>
      </x:c>
      <x:c r="J3" s="12" t="str"/>
      <x:c r="K3" s="12" t="str">
        <x:v>https://airc.nist.gov/airmf-resources/airmf/5-sec-core/</x:v>
      </x:c>
    </x:row>
    <x:row r="4" ht="36" customHeight="1">
      <x:c r="A4" s="12" t="str">
        <x:v>GOVERN</x:v>
      </x:c>
      <x:c r="B4" s="12" t="str">
        <x:v>GOVERN 1.3</x:v>
      </x:c>
      <x:c r="C4" s="12" t="str">
        <x:v>Risk management activity level determined based on organizational risk tolerance.</x:v>
      </x:c>
      <x:c r="D4" s="12" t="str">
        <x:v>AI-GOV-001, AI-GOV-002, AI-RSK-001, AI-RSK-002</x:v>
      </x:c>
      <x:c r="E4" s="12" t="str">
        <x:v>Strong</x:v>
      </x:c>
      <x:c r="F4" s="12" t="str">
        <x:v>Tier 1-4</x:v>
      </x:c>
      <x:c r="G4" s="12" t="str">
        <x:v>ATG controls support this NIST outcome through governance and accountability.</x:v>
      </x:c>
      <x:c r="H4" s="12" t="str">
        <x:v>Policy, governance minutes, RACI, AI inventory, approval records</x:v>
      </x:c>
      <x:c r="I4" s="12" t="str">
        <x:v>Not Assessed</x:v>
      </x:c>
      <x:c r="J4" s="12" t="str"/>
      <x:c r="K4" s="12" t="str">
        <x:v>https://airc.nist.gov/airmf-resources/airmf/5-sec-core/</x:v>
      </x:c>
    </x:row>
    <x:row r="5" ht="36" customHeight="1">
      <x:c r="A5" s="12" t="str">
        <x:v>GOVERN</x:v>
      </x:c>
      <x:c r="B5" s="12" t="str">
        <x:v>GOVERN 1.4</x:v>
      </x:c>
      <x:c r="C5" s="12" t="str">
        <x:v>Risk management process and outcomes established through transparent policies and controls.</x:v>
      </x:c>
      <x:c r="D5" s="12" t="str">
        <x:v>AI-GOV-001, AI-GOV-002, AI-RSK-001, AI-RSK-002</x:v>
      </x:c>
      <x:c r="E5" s="12" t="str">
        <x:v>Strong</x:v>
      </x:c>
      <x:c r="F5" s="12" t="str">
        <x:v>Tier 1-4</x:v>
      </x:c>
      <x:c r="G5" s="12" t="str">
        <x:v>ATG controls support this NIST outcome through governance and accountability.</x:v>
      </x:c>
      <x:c r="H5" s="12" t="str">
        <x:v>Policy, governance minutes, RACI, AI inventory, approval records</x:v>
      </x:c>
      <x:c r="I5" s="12" t="str">
        <x:v>Not Assessed</x:v>
      </x:c>
      <x:c r="J5" s="12" t="str"/>
      <x:c r="K5" s="12" t="str">
        <x:v>https://airc.nist.gov/airmf-resources/airmf/5-sec-core/</x:v>
      </x:c>
    </x:row>
    <x:row r="6" ht="36" customHeight="1">
      <x:c r="A6" s="12" t="str">
        <x:v>GOVERN</x:v>
      </x:c>
      <x:c r="B6" s="12" t="str">
        <x:v>GOVERN 1.5</x:v>
      </x:c>
      <x:c r="C6" s="12" t="str">
        <x:v>Ongoing monitoring and periodic review planned; roles and review frequency defined.</x:v>
      </x:c>
      <x:c r="D6" s="12" t="str">
        <x:v>AI-GOV-001, AI-GOV-002, AI-GOV-003, AI-GOV-004, AI-SEC-052, AI-SEC-055, AI-RSK-004</x:v>
      </x:c>
      <x:c r="E6" s="12" t="str">
        <x:v>Strong</x:v>
      </x:c>
      <x:c r="F6" s="12" t="str">
        <x:v>Tier 1-4</x:v>
      </x:c>
      <x:c r="G6" s="12" t="str">
        <x:v>ATG controls support this NIST outcome through governance and accountability.</x:v>
      </x:c>
      <x:c r="H6" s="12" t="str">
        <x:v>Policy, governance minutes, RACI, AI inventory, approval records</x:v>
      </x:c>
      <x:c r="I6" s="12" t="str">
        <x:v>Not Assessed</x:v>
      </x:c>
      <x:c r="J6" s="12" t="str"/>
      <x:c r="K6" s="12" t="str">
        <x:v>https://airc.nist.gov/airmf-resources/airmf/5-sec-core/</x:v>
      </x:c>
    </x:row>
    <x:row r="7" ht="36" customHeight="1">
      <x:c r="A7" s="12" t="str">
        <x:v>GOVERN</x:v>
      </x:c>
      <x:c r="B7" s="12" t="str">
        <x:v>GOVERN 1.6</x:v>
      </x:c>
      <x:c r="C7" s="12" t="str">
        <x:v>AI system inventory mechanisms established and resourced by risk priority.</x:v>
      </x:c>
      <x:c r="D7" s="12" t="str">
        <x:v>AI-GOV-001, AI-GOV-002, AI-GOV-006, AI-RSK-001, AI-RSK-002</x:v>
      </x:c>
      <x:c r="E7" s="12" t="str">
        <x:v>Strong</x:v>
      </x:c>
      <x:c r="F7" s="12" t="str">
        <x:v>Tier 1-4</x:v>
      </x:c>
      <x:c r="G7" s="12" t="str">
        <x:v>ATG controls support this NIST outcome through governance and accountability.</x:v>
      </x:c>
      <x:c r="H7" s="12" t="str">
        <x:v>Policy, governance minutes, RACI, AI inventory, approval records</x:v>
      </x:c>
      <x:c r="I7" s="12" t="str">
        <x:v>Not Assessed</x:v>
      </x:c>
      <x:c r="J7" s="12" t="str"/>
      <x:c r="K7" s="12" t="str">
        <x:v>https://airc.nist.gov/airmf-resources/airmf/5-sec-core/</x:v>
      </x:c>
    </x:row>
    <x:row r="8" ht="36" customHeight="1">
      <x:c r="A8" s="12" t="str">
        <x:v>GOVERN</x:v>
      </x:c>
      <x:c r="B8" s="12" t="str">
        <x:v>GOVERN 1.7</x:v>
      </x:c>
      <x:c r="C8" s="12" t="str">
        <x:v>Safe decommissioning and phase-out processes established.</x:v>
      </x:c>
      <x:c r="D8" s="12" t="str">
        <x:v>AI-GOV-001, AI-GOV-002, AI-GOV-007, AI-SEC-066</x:v>
      </x:c>
      <x:c r="E8" s="12" t="str">
        <x:v>Strong</x:v>
      </x:c>
      <x:c r="F8" s="12" t="str">
        <x:v>Tier 1-4</x:v>
      </x:c>
      <x:c r="G8" s="12" t="str">
        <x:v>ATG controls support this NIST outcome through governance and accountability.</x:v>
      </x:c>
      <x:c r="H8" s="12" t="str">
        <x:v>Policy, governance minutes, RACI, AI inventory, approval records</x:v>
      </x:c>
      <x:c r="I8" s="12" t="str">
        <x:v>Not Assessed</x:v>
      </x:c>
      <x:c r="J8" s="12" t="str"/>
      <x:c r="K8" s="12" t="str">
        <x:v>https://airc.nist.gov/airmf-resources/airmf/5-sec-core/</x:v>
      </x:c>
    </x:row>
    <x:row r="9" ht="36" customHeight="1">
      <x:c r="A9" s="12" t="str">
        <x:v>GOVERN</x:v>
      </x:c>
      <x:c r="B9" s="12" t="str">
        <x:v>GOVERN 2.1</x:v>
      </x:c>
      <x:c r="C9" s="12" t="str">
        <x:v>AI risk roles, responsibilities and communication lines documented and clear.</x:v>
      </x:c>
      <x:c r="D9" s="12" t="str">
        <x:v>AI-GOV-001, AI-GOV-002, AI-GOV-003, AI-GOV-004, AI-RSK-001, AI-RSK-002</x:v>
      </x:c>
      <x:c r="E9" s="12" t="str">
        <x:v>Strong</x:v>
      </x:c>
      <x:c r="F9" s="12" t="str">
        <x:v>Tier 1-4</x:v>
      </x:c>
      <x:c r="G9" s="12" t="str">
        <x:v>ATG controls support this NIST outcome through governance and accountability.</x:v>
      </x:c>
      <x:c r="H9" s="12" t="str">
        <x:v>Policy, governance minutes, RACI, AI inventory, approval records</x:v>
      </x:c>
      <x:c r="I9" s="12" t="str">
        <x:v>Not Assessed</x:v>
      </x:c>
      <x:c r="J9" s="12" t="str"/>
      <x:c r="K9" s="12" t="str">
        <x:v>https://airc.nist.gov/airmf-resources/airmf/5-sec-core/</x:v>
      </x:c>
    </x:row>
    <x:row r="10" ht="36" customHeight="1">
      <x:c r="A10" s="12" t="str">
        <x:v>GOVERN</x:v>
      </x:c>
      <x:c r="B10" s="12" t="str">
        <x:v>GOVERN 2.2</x:v>
      </x:c>
      <x:c r="C10" s="12" t="str">
        <x:v>Personnel and partners receive AI risk management training.</x:v>
      </x:c>
      <x:c r="D10" s="12" t="str">
        <x:v>AI-GOV-001, AI-GOV-002, AI-GOV-008, AI-RSK-001, AI-RSK-002</x:v>
      </x:c>
      <x:c r="E10" s="12" t="str">
        <x:v>Strong</x:v>
      </x:c>
      <x:c r="F10" s="12" t="str">
        <x:v>Tier 1-4</x:v>
      </x:c>
      <x:c r="G10" s="12" t="str">
        <x:v>ATG controls support this NIST outcome through governance and accountability.</x:v>
      </x:c>
      <x:c r="H10" s="12" t="str">
        <x:v>Policy, governance minutes, RACI, AI inventory, approval records</x:v>
      </x:c>
      <x:c r="I10" s="12" t="str">
        <x:v>Not Assessed</x:v>
      </x:c>
      <x:c r="J10" s="12" t="str"/>
      <x:c r="K10" s="12" t="str">
        <x:v>https://airc.nist.gov/airmf-resources/airmf/5-sec-core/</x:v>
      </x:c>
    </x:row>
    <x:row r="11" ht="36" customHeight="1">
      <x:c r="A11" s="12" t="str">
        <x:v>GOVERN</x:v>
      </x:c>
      <x:c r="B11" s="12" t="str">
        <x:v>GOVERN 2.3</x:v>
      </x:c>
      <x:c r="C11" s="12" t="str">
        <x:v>Executive leadership takes responsibility for AI risk decisions.</x:v>
      </x:c>
      <x:c r="D11" s="12" t="str">
        <x:v>AI-GOV-001, AI-GOV-002, AI-GOV-003, AI-GOV-004, AI-RSK-001, AI-RSK-002</x:v>
      </x:c>
      <x:c r="E11" s="12" t="str">
        <x:v>Strong</x:v>
      </x:c>
      <x:c r="F11" s="12" t="str">
        <x:v>Tier 1-4</x:v>
      </x:c>
      <x:c r="G11" s="12" t="str">
        <x:v>ATG controls support this NIST outcome through governance and accountability.</x:v>
      </x:c>
      <x:c r="H11" s="12" t="str">
        <x:v>Policy, governance minutes, RACI, AI inventory, approval records</x:v>
      </x:c>
      <x:c r="I11" s="12" t="str">
        <x:v>Not Assessed</x:v>
      </x:c>
      <x:c r="J11" s="12" t="str"/>
      <x:c r="K11" s="12" t="str">
        <x:v>https://airc.nist.gov/airmf-resources/airmf/5-sec-core/</x:v>
      </x:c>
    </x:row>
    <x:row r="12" ht="36" customHeight="1">
      <x:c r="A12" s="12" t="str">
        <x:v>GOVERN</x:v>
      </x:c>
      <x:c r="B12" s="12" t="str">
        <x:v>GOVERN 3.1</x:v>
      </x:c>
      <x:c r="C12" s="12" t="str">
        <x:v>Diverse and interdisciplinary perspectives inform AI risk decisions.</x:v>
      </x:c>
      <x:c r="D12" s="12" t="str">
        <x:v>AI-GOV-001, AI-GOV-002, AI-RSK-001, AI-RSK-002</x:v>
      </x:c>
      <x:c r="E12" s="12" t="str">
        <x:v>Partial</x:v>
      </x:c>
      <x:c r="F12" s="12" t="str">
        <x:v>Tier 1-4</x:v>
      </x:c>
      <x:c r="G12" s="12" t="str">
        <x:v>ATG controls support this NIST outcome through governance and accountability.</x:v>
      </x:c>
      <x:c r="H12" s="12" t="str">
        <x:v>Policy, governance minutes, RACI, AI inventory, approval records</x:v>
      </x:c>
      <x:c r="I12" s="12" t="str">
        <x:v>Not Assessed</x:v>
      </x:c>
      <x:c r="J12" s="12" t="str"/>
      <x:c r="K12" s="12" t="str">
        <x:v>https://airc.nist.gov/airmf-resources/airmf/5-sec-core/</x:v>
      </x:c>
    </x:row>
    <x:row r="13" ht="36" customHeight="1">
      <x:c r="A13" s="12" t="str">
        <x:v>GOVERN</x:v>
      </x:c>
      <x:c r="B13" s="12" t="str">
        <x:v>GOVERN 3.2</x:v>
      </x:c>
      <x:c r="C13" s="12" t="str">
        <x:v>Human-AI roles, responsibilities and oversight are defined.</x:v>
      </x:c>
      <x:c r="D13" s="12" t="str">
        <x:v>AI-GOV-001, AI-GOV-002, AI-GOV-003, AI-GOV-004, AI-RAI-003, AI-SEC-009</x:v>
      </x:c>
      <x:c r="E13" s="12" t="str">
        <x:v>Strong</x:v>
      </x:c>
      <x:c r="F13" s="12" t="str">
        <x:v>Tier 1-4</x:v>
      </x:c>
      <x:c r="G13" s="12" t="str">
        <x:v>ATG controls support this NIST outcome through governance and accountability.</x:v>
      </x:c>
      <x:c r="H13" s="12" t="str">
        <x:v>Policy, governance minutes, RACI, AI inventory, approval records</x:v>
      </x:c>
      <x:c r="I13" s="12" t="str">
        <x:v>Not Assessed</x:v>
      </x:c>
      <x:c r="J13" s="12" t="str"/>
      <x:c r="K13" s="12" t="str">
        <x:v>https://airc.nist.gov/airmf-resources/airmf/5-sec-core/</x:v>
      </x:c>
    </x:row>
    <x:row r="14" ht="36" customHeight="1">
      <x:c r="A14" s="12" t="str">
        <x:v>GOVERN</x:v>
      </x:c>
      <x:c r="B14" s="12" t="str">
        <x:v>GOVERN 4.1</x:v>
      </x:c>
      <x:c r="C14" s="12" t="str">
        <x:v>Policies foster critical thinking and safety-first AI culture.</x:v>
      </x:c>
      <x:c r="D14" s="12" t="str">
        <x:v>AI-GOV-001, AI-GOV-002, AI-SEC-064, AI-SEC-065</x:v>
      </x:c>
      <x:c r="E14" s="12" t="str">
        <x:v>Strong</x:v>
      </x:c>
      <x:c r="F14" s="12" t="str">
        <x:v>Tier 1-4</x:v>
      </x:c>
      <x:c r="G14" s="12" t="str">
        <x:v>ATG controls support this NIST outcome through governance and accountability.</x:v>
      </x:c>
      <x:c r="H14" s="12" t="str">
        <x:v>Policy, governance minutes, RACI, AI inventory, approval records</x:v>
      </x:c>
      <x:c r="I14" s="12" t="str">
        <x:v>Not Assessed</x:v>
      </x:c>
      <x:c r="J14" s="12" t="str"/>
      <x:c r="K14" s="12" t="str">
        <x:v>https://airc.nist.gov/airmf-resources/airmf/5-sec-core/</x:v>
      </x:c>
    </x:row>
    <x:row r="15" ht="36" customHeight="1">
      <x:c r="A15" s="12" t="str">
        <x:v>GOVERN</x:v>
      </x:c>
      <x:c r="B15" s="12" t="str">
        <x:v>GOVERN 4.2</x:v>
      </x:c>
      <x:c r="C15" s="12" t="str">
        <x:v>AI risks and potential impacts are documented and communicated.</x:v>
      </x:c>
      <x:c r="D15" s="12" t="str">
        <x:v>AI-GOV-001, AI-GOV-002, AI-RSK-001, AI-RSK-002</x:v>
      </x:c>
      <x:c r="E15" s="12" t="str">
        <x:v>Strong</x:v>
      </x:c>
      <x:c r="F15" s="12" t="str">
        <x:v>Tier 1-4</x:v>
      </x:c>
      <x:c r="G15" s="12" t="str">
        <x:v>ATG controls support this NIST outcome through governance and accountability.</x:v>
      </x:c>
      <x:c r="H15" s="12" t="str">
        <x:v>Policy, governance minutes, RACI, AI inventory, approval records</x:v>
      </x:c>
      <x:c r="I15" s="12" t="str">
        <x:v>Not Assessed</x:v>
      </x:c>
      <x:c r="J15" s="12" t="str"/>
      <x:c r="K15" s="12" t="str">
        <x:v>https://airc.nist.gov/airmf-resources/airmf/5-sec-core/</x:v>
      </x:c>
    </x:row>
    <x:row r="16" ht="36" customHeight="1">
      <x:c r="A16" s="12" t="str">
        <x:v>GOVERN</x:v>
      </x:c>
      <x:c r="B16" s="12" t="str">
        <x:v>GOVERN 4.3</x:v>
      </x:c>
      <x:c r="C16" s="12" t="str">
        <x:v>Practices enable AI testing, incident identification and information sharing.</x:v>
      </x:c>
      <x:c r="D16" s="12" t="str">
        <x:v>AI-GOV-001, AI-GOV-002, AI-SEC-057, AI-SEC-067, AI-SEC-068, AI-RAI-005, AI-SEC-047</x:v>
      </x:c>
      <x:c r="E16" s="12" t="str">
        <x:v>Strong</x:v>
      </x:c>
      <x:c r="F16" s="12" t="str">
        <x:v>Tier 1-4</x:v>
      </x:c>
      <x:c r="G16" s="12" t="str">
        <x:v>ATG controls support this NIST outcome through governance and accountability.</x:v>
      </x:c>
      <x:c r="H16" s="12" t="str">
        <x:v>Policy, governance minutes, RACI, AI inventory, approval records</x:v>
      </x:c>
      <x:c r="I16" s="12" t="str">
        <x:v>Not Assessed</x:v>
      </x:c>
      <x:c r="J16" s="12" t="str"/>
      <x:c r="K16" s="12" t="str">
        <x:v>https://airc.nist.gov/airmf-resources/airmf/5-sec-core/</x:v>
      </x:c>
    </x:row>
    <x:row r="17" ht="36" customHeight="1">
      <x:c r="A17" s="12" t="str">
        <x:v>GOVERN</x:v>
      </x:c>
      <x:c r="B17" s="12" t="str">
        <x:v>GOVERN 5.1</x:v>
      </x:c>
      <x:c r="C17" s="12" t="str">
        <x:v>External stakeholder feedback on AI impacts is collected and considered.</x:v>
      </x:c>
      <x:c r="D17" s="12" t="str">
        <x:v>AI-GOV-001, AI-GOV-002, AI-GOV-009, AI-RAI-006</x:v>
      </x:c>
      <x:c r="E17" s="12" t="str">
        <x:v>Strong</x:v>
      </x:c>
      <x:c r="F17" s="12" t="str">
        <x:v>Tier 1-4</x:v>
      </x:c>
      <x:c r="G17" s="12" t="str">
        <x:v>ATG controls support this NIST outcome through governance and accountability.</x:v>
      </x:c>
      <x:c r="H17" s="12" t="str">
        <x:v>Policy, governance minutes, RACI, AI inventory, approval records</x:v>
      </x:c>
      <x:c r="I17" s="12" t="str">
        <x:v>Not Assessed</x:v>
      </x:c>
      <x:c r="J17" s="12" t="str"/>
      <x:c r="K17" s="12" t="str">
        <x:v>https://airc.nist.gov/airmf-resources/airmf/5-sec-core/</x:v>
      </x:c>
    </x:row>
    <x:row r="18" ht="36" customHeight="1">
      <x:c r="A18" s="12" t="str">
        <x:v>GOVERN</x:v>
      </x:c>
      <x:c r="B18" s="12" t="str">
        <x:v>GOVERN 5.2</x:v>
      </x:c>
      <x:c r="C18" s="12" t="str">
        <x:v>Adjudicated stakeholder feedback is incorporated into AI design/implementation.</x:v>
      </x:c>
      <x:c r="D18" s="12" t="str">
        <x:v>AI-GOV-001, AI-GOV-002, AI-GOV-009, AI-RAI-006</x:v>
      </x:c>
      <x:c r="E18" s="12" t="str">
        <x:v>Strong</x:v>
      </x:c>
      <x:c r="F18" s="12" t="str">
        <x:v>Tier 1-4</x:v>
      </x:c>
      <x:c r="G18" s="12" t="str">
        <x:v>ATG controls support this NIST outcome through governance and accountability.</x:v>
      </x:c>
      <x:c r="H18" s="12" t="str">
        <x:v>Policy, governance minutes, RACI, AI inventory, approval records</x:v>
      </x:c>
      <x:c r="I18" s="12" t="str">
        <x:v>Not Assessed</x:v>
      </x:c>
      <x:c r="J18" s="12" t="str"/>
      <x:c r="K18" s="12" t="str">
        <x:v>https://airc.nist.gov/airmf-resources/airmf/5-sec-core/</x:v>
      </x:c>
    </x:row>
    <x:row r="19" ht="36" customHeight="1">
      <x:c r="A19" s="12" t="str">
        <x:v>GOVERN</x:v>
      </x:c>
      <x:c r="B19" s="12" t="str">
        <x:v>GOVERN 6.1</x:v>
      </x:c>
      <x:c r="C19" s="12" t="str">
        <x:v>Third-party AI/software/data and supply-chain risks are addressed.</x:v>
      </x:c>
      <x:c r="D19" s="12" t="str">
        <x:v>AI-GOV-001, AI-GOV-002, AI-TPR-001, AI-TPR-002, AI-SEC-058, AI-SEC-061, AI-RSK-001, AI-RSK-002</x:v>
      </x:c>
      <x:c r="E19" s="12" t="str">
        <x:v>Strong</x:v>
      </x:c>
      <x:c r="F19" s="12" t="str">
        <x:v>Tier 1-4</x:v>
      </x:c>
      <x:c r="G19" s="12" t="str">
        <x:v>ATG controls support this NIST outcome through governance and accountability.</x:v>
      </x:c>
      <x:c r="H19" s="12" t="str">
        <x:v>Policy, governance minutes, RACI, AI inventory, approval records</x:v>
      </x:c>
      <x:c r="I19" s="12" t="str">
        <x:v>Not Assessed</x:v>
      </x:c>
      <x:c r="J19" s="12" t="str"/>
      <x:c r="K19" s="12" t="str">
        <x:v>https://airc.nist.gov/airmf-resources/airmf/5-sec-core/</x:v>
      </x:c>
    </x:row>
    <x:row r="20" ht="36" customHeight="1">
      <x:c r="A20" s="12" t="str">
        <x:v>GOVERN</x:v>
      </x:c>
      <x:c r="B20" s="12" t="str">
        <x:v>GOVERN 6.2</x:v>
      </x:c>
      <x:c r="C20" s="12" t="str">
        <x:v>Contingency processes address failures/incidents in high-risk third-party AI/data.</x:v>
      </x:c>
      <x:c r="D20" s="12" t="str">
        <x:v>AI-GOV-001, AI-GOV-002, AI-TPR-001, AI-TPR-002, AI-SEC-058, AI-SEC-061, AI-RSK-001, AI-RSK-002</x:v>
      </x:c>
      <x:c r="E20" s="12" t="str">
        <x:v>Strong</x:v>
      </x:c>
      <x:c r="F20" s="12" t="str">
        <x:v>Tier 1-4</x:v>
      </x:c>
      <x:c r="G20" s="12" t="str">
        <x:v>ATG controls support this NIST outcome through governance and accountability.</x:v>
      </x:c>
      <x:c r="H20" s="12" t="str">
        <x:v>Policy, governance minutes, RACI, AI inventory, approval records</x:v>
      </x:c>
      <x:c r="I20" s="12" t="str">
        <x:v>Not Assessed</x:v>
      </x:c>
      <x:c r="J20" s="12" t="str"/>
      <x:c r="K20" s="12" t="str">
        <x:v>https://airc.nist.gov/airmf-resources/airmf/5-sec-core/</x:v>
      </x:c>
    </x:row>
    <x:row r="21" ht="36" customHeight="1">
      <x:c r="A21" s="12" t="str">
        <x:v>MAP</x:v>
      </x:c>
      <x:c r="B21" s="12" t="str">
        <x:v>MAP 1.1</x:v>
      </x:c>
      <x:c r="C21" s="12" t="str">
        <x:v>Intended purpose, use context, users, impacts, assumptions and limitations documented.</x:v>
      </x:c>
      <x:c r="D21" s="12" t="str">
        <x:v>AI-GOV-005, AI-RSK-001</x:v>
      </x:c>
      <x:c r="E21" s="12" t="str">
        <x:v>Partial</x:v>
      </x:c>
      <x:c r="F21" s="12" t="str">
        <x:v>Risk-based</x:v>
      </x:c>
      <x:c r="G21" s="12" t="str">
        <x:v>ATG controls support this NIST outcome through context and risk identification.</x:v>
      </x:c>
      <x:c r="H21" s="12" t="str">
        <x:v>Use-case intake, risk assessment, architecture/design records, impact assessment</x:v>
      </x:c>
      <x:c r="I21" s="12" t="str">
        <x:v>Not Assessed</x:v>
      </x:c>
      <x:c r="J21" s="12" t="str"/>
      <x:c r="K21" s="12" t="str">
        <x:v>https://airc.nist.gov/airmf-resources/airmf/5-sec-core/</x:v>
      </x:c>
    </x:row>
    <x:row r="22" ht="36" customHeight="1">
      <x:c r="A22" s="12" t="str">
        <x:v>MAP</x:v>
      </x:c>
      <x:c r="B22" s="12" t="str">
        <x:v>MAP 1.2</x:v>
      </x:c>
      <x:c r="C22" s="12" t="str">
        <x:v>Interdisciplinary actors and relevant competencies participate in context setting.</x:v>
      </x:c>
      <x:c r="D22" s="12" t="str"/>
      <x:c r="E22" s="12" t="str">
        <x:v>Partial</x:v>
      </x:c>
      <x:c r="F22" s="12" t="str">
        <x:v>Risk-based</x:v>
      </x:c>
      <x:c r="G22" s="12" t="str">
        <x:v>ATG controls support this NIST outcome through context and risk identification.</x:v>
      </x:c>
      <x:c r="H22" s="12" t="str">
        <x:v>Use-case intake, risk assessment, architecture/design records, impact assessment</x:v>
      </x:c>
      <x:c r="I22" s="12" t="str">
        <x:v>Not Assessed</x:v>
      </x:c>
      <x:c r="J22" s="12" t="str"/>
      <x:c r="K22" s="12" t="str">
        <x:v>https://airc.nist.gov/airmf-resources/airmf/5-sec-core/</x:v>
      </x:c>
    </x:row>
    <x:row r="23" ht="36" customHeight="1">
      <x:c r="A23" s="12" t="str">
        <x:v>MAP</x:v>
      </x:c>
      <x:c r="B23" s="12" t="str">
        <x:v>MAP 1.3</x:v>
      </x:c>
      <x:c r="C23" s="12" t="str">
        <x:v>Organizational mission and AI goals are understood and documented.</x:v>
      </x:c>
      <x:c r="D23" s="12" t="str"/>
      <x:c r="E23" s="12" t="str">
        <x:v>Partial</x:v>
      </x:c>
      <x:c r="F23" s="12" t="str">
        <x:v>Risk-based</x:v>
      </x:c>
      <x:c r="G23" s="12" t="str">
        <x:v>ATG controls support this NIST outcome through context and risk identification.</x:v>
      </x:c>
      <x:c r="H23" s="12" t="str">
        <x:v>Use-case intake, risk assessment, architecture/design records, impact assessment</x:v>
      </x:c>
      <x:c r="I23" s="12" t="str">
        <x:v>Not Assessed</x:v>
      </x:c>
      <x:c r="J23" s="12" t="str"/>
      <x:c r="K23" s="12" t="str">
        <x:v>https://airc.nist.gov/airmf-resources/airmf/5-sec-core/</x:v>
      </x:c>
    </x:row>
    <x:row r="24" ht="36" customHeight="1">
      <x:c r="A24" s="12" t="str">
        <x:v>MAP</x:v>
      </x:c>
      <x:c r="B24" s="12" t="str">
        <x:v>MAP 1.4</x:v>
      </x:c>
      <x:c r="C24" s="12" t="str">
        <x:v>Business value and business-use context are defined or re-evaluated.</x:v>
      </x:c>
      <x:c r="D24" s="12" t="str">
        <x:v>AI-GOV-005, AI-RSK-001</x:v>
      </x:c>
      <x:c r="E24" s="12" t="str">
        <x:v>Partial</x:v>
      </x:c>
      <x:c r="F24" s="12" t="str">
        <x:v>Risk-based</x:v>
      </x:c>
      <x:c r="G24" s="12" t="str">
        <x:v>ATG controls support this NIST outcome through context and risk identification.</x:v>
      </x:c>
      <x:c r="H24" s="12" t="str">
        <x:v>Use-case intake, risk assessment, architecture/design records, impact assessment</x:v>
      </x:c>
      <x:c r="I24" s="12" t="str">
        <x:v>Not Assessed</x:v>
      </x:c>
      <x:c r="J24" s="12" t="str"/>
      <x:c r="K24" s="12" t="str">
        <x:v>https://airc.nist.gov/airmf-resources/airmf/5-sec-core/</x:v>
      </x:c>
    </x:row>
    <x:row r="25" ht="36" customHeight="1">
      <x:c r="A25" s="12" t="str">
        <x:v>MAP</x:v>
      </x:c>
      <x:c r="B25" s="12" t="str">
        <x:v>MAP 1.5</x:v>
      </x:c>
      <x:c r="C25" s="12" t="str">
        <x:v>Organizational risk tolerances are determined and documented.</x:v>
      </x:c>
      <x:c r="D25" s="12" t="str">
        <x:v>AI-RSK-001, AI-RSK-002</x:v>
      </x:c>
      <x:c r="E25" s="12" t="str">
        <x:v>Partial</x:v>
      </x:c>
      <x:c r="F25" s="12" t="str">
        <x:v>Risk-based</x:v>
      </x:c>
      <x:c r="G25" s="12" t="str">
        <x:v>ATG controls support this NIST outcome through context and risk identification.</x:v>
      </x:c>
      <x:c r="H25" s="12" t="str">
        <x:v>Use-case intake, risk assessment, architecture/design records, impact assessment</x:v>
      </x:c>
      <x:c r="I25" s="12" t="str">
        <x:v>Not Assessed</x:v>
      </x:c>
      <x:c r="J25" s="12" t="str"/>
      <x:c r="K25" s="12" t="str">
        <x:v>https://airc.nist.gov/airmf-resources/airmf/5-sec-core/</x:v>
      </x:c>
    </x:row>
    <x:row r="26" ht="36" customHeight="1">
      <x:c r="A26" s="12" t="str">
        <x:v>MAP</x:v>
      </x:c>
      <x:c r="B26" s="12" t="str">
        <x:v>MAP 1.6</x:v>
      </x:c>
      <x:c r="C26" s="12" t="str">
        <x:v>System requirements are elicited with socio-technical implications considered.</x:v>
      </x:c>
      <x:c r="D26" s="12" t="str"/>
      <x:c r="E26" s="12" t="str">
        <x:v>Partial</x:v>
      </x:c>
      <x:c r="F26" s="12" t="str">
        <x:v>Risk-based</x:v>
      </x:c>
      <x:c r="G26" s="12" t="str">
        <x:v>ATG controls support this NIST outcome through context and risk identification.</x:v>
      </x:c>
      <x:c r="H26" s="12" t="str">
        <x:v>Use-case intake, risk assessment, architecture/design records, impact assessment</x:v>
      </x:c>
      <x:c r="I26" s="12" t="str">
        <x:v>Not Assessed</x:v>
      </x:c>
      <x:c r="J26" s="12" t="str"/>
      <x:c r="K26" s="12" t="str">
        <x:v>https://airc.nist.gov/airmf-resources/airmf/5-sec-core/</x:v>
      </x:c>
    </x:row>
    <x:row r="27" ht="36" customHeight="1">
      <x:c r="A27" s="12" t="str">
        <x:v>MAP</x:v>
      </x:c>
      <x:c r="B27" s="12" t="str">
        <x:v>MAP 2.1</x:v>
      </x:c>
      <x:c r="C27" s="12" t="str">
        <x:v>AI tasks and methods used to implement them are defined.</x:v>
      </x:c>
      <x:c r="D27" s="12" t="str"/>
      <x:c r="E27" s="12" t="str">
        <x:v>Partial</x:v>
      </x:c>
      <x:c r="F27" s="12" t="str">
        <x:v>Risk-based</x:v>
      </x:c>
      <x:c r="G27" s="12" t="str">
        <x:v>ATG controls support this NIST outcome through context and risk identification.</x:v>
      </x:c>
      <x:c r="H27" s="12" t="str">
        <x:v>Use-case intake, risk assessment, architecture/design records, impact assessment</x:v>
      </x:c>
      <x:c r="I27" s="12" t="str">
        <x:v>Not Assessed</x:v>
      </x:c>
      <x:c r="J27" s="12" t="str"/>
      <x:c r="K27" s="12" t="str">
        <x:v>https://airc.nist.gov/airmf-resources/airmf/5-sec-core/</x:v>
      </x:c>
    </x:row>
    <x:row r="28" ht="36" customHeight="1">
      <x:c r="A28" s="12" t="str">
        <x:v>MAP</x:v>
      </x:c>
      <x:c r="B28" s="12" t="str">
        <x:v>MAP 2.2</x:v>
      </x:c>
      <x:c r="C28" s="12" t="str">
        <x:v>Knowledge limits, human use of outputs and oversight are documented.</x:v>
      </x:c>
      <x:c r="D28" s="12" t="str">
        <x:v>AI-RAI-003, AI-SEC-009, AI-SEC-026, AI-SEC-029</x:v>
      </x:c>
      <x:c r="E28" s="12" t="str">
        <x:v>Strong</x:v>
      </x:c>
      <x:c r="F28" s="12" t="str">
        <x:v>Tier 2-4</x:v>
      </x:c>
      <x:c r="G28" s="12" t="str">
        <x:v>ATG controls support this NIST outcome through context and risk identification.</x:v>
      </x:c>
      <x:c r="H28" s="12" t="str">
        <x:v>Use-case intake, risk assessment, architecture/design records, impact assessment</x:v>
      </x:c>
      <x:c r="I28" s="12" t="str">
        <x:v>Not Assessed</x:v>
      </x:c>
      <x:c r="J28" s="12" t="str"/>
      <x:c r="K28" s="12" t="str">
        <x:v>https://airc.nist.gov/airmf-resources/airmf/5-sec-core/</x:v>
      </x:c>
    </x:row>
    <x:row r="29" ht="36" customHeight="1">
      <x:c r="A29" s="12" t="str">
        <x:v>MAP</x:v>
      </x:c>
      <x:c r="B29" s="12" t="str">
        <x:v>MAP 2.3</x:v>
      </x:c>
      <x:c r="C29" s="12" t="str">
        <x:v>Scientific integrity and TEVV considerations are identified and documented.</x:v>
      </x:c>
      <x:c r="D29" s="12" t="str">
        <x:v>AI-RAI-005, AI-SEC-047</x:v>
      </x:c>
      <x:c r="E29" s="12" t="str">
        <x:v>Partial</x:v>
      </x:c>
      <x:c r="F29" s="12" t="str">
        <x:v>Risk-based</x:v>
      </x:c>
      <x:c r="G29" s="12" t="str">
        <x:v>ATG controls support this NIST outcome through context and risk identification.</x:v>
      </x:c>
      <x:c r="H29" s="12" t="str">
        <x:v>Use-case intake, risk assessment, architecture/design records, impact assessment</x:v>
      </x:c>
      <x:c r="I29" s="12" t="str">
        <x:v>Not Assessed</x:v>
      </x:c>
      <x:c r="J29" s="12" t="str"/>
      <x:c r="K29" s="12" t="str">
        <x:v>https://airc.nist.gov/airmf-resources/airmf/5-sec-core/</x:v>
      </x:c>
    </x:row>
    <x:row r="30" ht="36" customHeight="1">
      <x:c r="A30" s="12" t="str">
        <x:v>MAP</x:v>
      </x:c>
      <x:c r="B30" s="12" t="str">
        <x:v>MAP 3.1</x:v>
      </x:c>
      <x:c r="C30" s="12" t="str">
        <x:v>Potential benefits of intended AI functionality/performance are examined and documented.</x:v>
      </x:c>
      <x:c r="D30" s="12" t="str">
        <x:v>AI-RAI-005, AI-SEC-047</x:v>
      </x:c>
      <x:c r="E30" s="12" t="str">
        <x:v>Partial</x:v>
      </x:c>
      <x:c r="F30" s="12" t="str">
        <x:v>Risk-based</x:v>
      </x:c>
      <x:c r="G30" s="12" t="str">
        <x:v>ATG controls support this NIST outcome through context and risk identification.</x:v>
      </x:c>
      <x:c r="H30" s="12" t="str">
        <x:v>Use-case intake, risk assessment, architecture/design records, impact assessment</x:v>
      </x:c>
      <x:c r="I30" s="12" t="str">
        <x:v>Not Assessed</x:v>
      </x:c>
      <x:c r="J30" s="12" t="str"/>
      <x:c r="K30" s="12" t="str">
        <x:v>https://airc.nist.gov/airmf-resources/airmf/5-sec-core/</x:v>
      </x:c>
    </x:row>
    <x:row r="31" ht="36" customHeight="1">
      <x:c r="A31" s="12" t="str">
        <x:v>MAP</x:v>
      </x:c>
      <x:c r="B31" s="12" t="str">
        <x:v>MAP 3.2</x:v>
      </x:c>
      <x:c r="C31" s="12" t="str">
        <x:v>Potential monetary and non-monetary costs from AI errors are examined.</x:v>
      </x:c>
      <x:c r="D31" s="12" t="str"/>
      <x:c r="E31" s="12" t="str">
        <x:v>Partial</x:v>
      </x:c>
      <x:c r="F31" s="12" t="str">
        <x:v>Risk-based</x:v>
      </x:c>
      <x:c r="G31" s="12" t="str">
        <x:v>ATG controls support this NIST outcome through context and risk identification.</x:v>
      </x:c>
      <x:c r="H31" s="12" t="str">
        <x:v>Use-case intake, risk assessment, architecture/design records, impact assessment</x:v>
      </x:c>
      <x:c r="I31" s="12" t="str">
        <x:v>Not Assessed</x:v>
      </x:c>
      <x:c r="J31" s="12" t="str"/>
      <x:c r="K31" s="12" t="str">
        <x:v>https://airc.nist.gov/airmf-resources/airmf/5-sec-core/</x:v>
      </x:c>
    </x:row>
    <x:row r="32" ht="36" customHeight="1">
      <x:c r="A32" s="12" t="str">
        <x:v>MAP</x:v>
      </x:c>
      <x:c r="B32" s="12" t="str">
        <x:v>MAP 3.3</x:v>
      </x:c>
      <x:c r="C32" s="12" t="str">
        <x:v>Target application scope is specified based on capability, context and categorization.</x:v>
      </x:c>
      <x:c r="D32" s="12" t="str">
        <x:v>AI-GOV-005, AI-RSK-001</x:v>
      </x:c>
      <x:c r="E32" s="12" t="str">
        <x:v>Partial</x:v>
      </x:c>
      <x:c r="F32" s="12" t="str">
        <x:v>Risk-based</x:v>
      </x:c>
      <x:c r="G32" s="12" t="str">
        <x:v>ATG controls support this NIST outcome through context and risk identification.</x:v>
      </x:c>
      <x:c r="H32" s="12" t="str">
        <x:v>Use-case intake, risk assessment, architecture/design records, impact assessment</x:v>
      </x:c>
      <x:c r="I32" s="12" t="str">
        <x:v>Not Assessed</x:v>
      </x:c>
      <x:c r="J32" s="12" t="str"/>
      <x:c r="K32" s="12" t="str">
        <x:v>https://airc.nist.gov/airmf-resources/airmf/5-sec-core/</x:v>
      </x:c>
    </x:row>
    <x:row r="33" ht="36" customHeight="1">
      <x:c r="A33" s="12" t="str">
        <x:v>MAP</x:v>
      </x:c>
      <x:c r="B33" s="12" t="str">
        <x:v>MAP 3.4</x:v>
      </x:c>
      <x:c r="C33" s="12" t="str">
        <x:v>Operator/practitioner proficiency, standards and certifications are defined and assessed.</x:v>
      </x:c>
      <x:c r="D33" s="12" t="str">
        <x:v>AI-GOV-008</x:v>
      </x:c>
      <x:c r="E33" s="12" t="str">
        <x:v>Partial</x:v>
      </x:c>
      <x:c r="F33" s="12" t="str">
        <x:v>Risk-based</x:v>
      </x:c>
      <x:c r="G33" s="12" t="str">
        <x:v>ATG controls support this NIST outcome through context and risk identification.</x:v>
      </x:c>
      <x:c r="H33" s="12" t="str">
        <x:v>Use-case intake, risk assessment, architecture/design records, impact assessment</x:v>
      </x:c>
      <x:c r="I33" s="12" t="str">
        <x:v>Not Assessed</x:v>
      </x:c>
      <x:c r="J33" s="12" t="str"/>
      <x:c r="K33" s="12" t="str">
        <x:v>https://airc.nist.gov/airmf-resources/airmf/5-sec-core/</x:v>
      </x:c>
    </x:row>
    <x:row r="34" ht="36" customHeight="1">
      <x:c r="A34" s="12" t="str">
        <x:v>MAP</x:v>
      </x:c>
      <x:c r="B34" s="12" t="str">
        <x:v>MAP 3.5</x:v>
      </x:c>
      <x:c r="C34" s="12" t="str">
        <x:v>Human oversight processes are defined, assessed and documented.</x:v>
      </x:c>
      <x:c r="D34" s="12" t="str">
        <x:v>AI-RAI-003, AI-SEC-009</x:v>
      </x:c>
      <x:c r="E34" s="12" t="str">
        <x:v>Partial</x:v>
      </x:c>
      <x:c r="F34" s="12" t="str">
        <x:v>Risk-based</x:v>
      </x:c>
      <x:c r="G34" s="12" t="str">
        <x:v>ATG controls support this NIST outcome through context and risk identification.</x:v>
      </x:c>
      <x:c r="H34" s="12" t="str">
        <x:v>Use-case intake, risk assessment, architecture/design records, impact assessment</x:v>
      </x:c>
      <x:c r="I34" s="12" t="str">
        <x:v>Not Assessed</x:v>
      </x:c>
      <x:c r="J34" s="12" t="str"/>
      <x:c r="K34" s="12" t="str">
        <x:v>https://airc.nist.gov/airmf-resources/airmf/5-sec-core/</x:v>
      </x:c>
    </x:row>
    <x:row r="35" ht="36" customHeight="1">
      <x:c r="A35" s="12" t="str">
        <x:v>MAP</x:v>
      </x:c>
      <x:c r="B35" s="12" t="str">
        <x:v>MAP 4.1</x:v>
      </x:c>
      <x:c r="C35" s="12" t="str">
        <x:v>Technology/legal risks including third-party/IP risks are mapped and documented.</x:v>
      </x:c>
      <x:c r="D35" s="12" t="str">
        <x:v>AI-TPR-001, AI-TPR-002, AI-SEC-058, AI-SEC-061, AI-RSK-001, AI-RSK-002</x:v>
      </x:c>
      <x:c r="E35" s="12" t="str">
        <x:v>Strong</x:v>
      </x:c>
      <x:c r="F35" s="12" t="str">
        <x:v>Tier 2-4</x:v>
      </x:c>
      <x:c r="G35" s="12" t="str">
        <x:v>ATG controls support this NIST outcome through context and risk identification.</x:v>
      </x:c>
      <x:c r="H35" s="12" t="str">
        <x:v>Use-case intake, risk assessment, architecture/design records, impact assessment</x:v>
      </x:c>
      <x:c r="I35" s="12" t="str">
        <x:v>Not Assessed</x:v>
      </x:c>
      <x:c r="J35" s="12" t="str"/>
      <x:c r="K35" s="12" t="str">
        <x:v>https://airc.nist.gov/airmf-resources/airmf/5-sec-core/</x:v>
      </x:c>
    </x:row>
    <x:row r="36" ht="36" customHeight="1">
      <x:c r="A36" s="12" t="str">
        <x:v>MAP</x:v>
      </x:c>
      <x:c r="B36" s="12" t="str">
        <x:v>MAP 4.2</x:v>
      </x:c>
      <x:c r="C36" s="12" t="str">
        <x:v>Internal risk controls for AI components including third parties are identified.</x:v>
      </x:c>
      <x:c r="D36" s="12" t="str">
        <x:v>AI-RSK-001, AI-RSK-002</x:v>
      </x:c>
      <x:c r="E36" s="12" t="str">
        <x:v>Partial</x:v>
      </x:c>
      <x:c r="F36" s="12" t="str">
        <x:v>Risk-based</x:v>
      </x:c>
      <x:c r="G36" s="12" t="str">
        <x:v>ATG controls support this NIST outcome through context and risk identification.</x:v>
      </x:c>
      <x:c r="H36" s="12" t="str">
        <x:v>Use-case intake, risk assessment, architecture/design records, impact assessment</x:v>
      </x:c>
      <x:c r="I36" s="12" t="str">
        <x:v>Not Assessed</x:v>
      </x:c>
      <x:c r="J36" s="12" t="str"/>
      <x:c r="K36" s="12" t="str">
        <x:v>https://airc.nist.gov/airmf-resources/airmf/5-sec-core/</x:v>
      </x:c>
    </x:row>
    <x:row r="37" ht="36" customHeight="1">
      <x:c r="A37" s="12" t="str">
        <x:v>MAP</x:v>
      </x:c>
      <x:c r="B37" s="12" t="str">
        <x:v>MAP 5.1</x:v>
      </x:c>
      <x:c r="C37" s="12" t="str">
        <x:v>Likelihood and magnitude of beneficial/harmful impacts are identified and documented.</x:v>
      </x:c>
      <x:c r="D37" s="12" t="str"/>
      <x:c r="E37" s="12" t="str">
        <x:v>Partial</x:v>
      </x:c>
      <x:c r="F37" s="12" t="str">
        <x:v>Risk-based</x:v>
      </x:c>
      <x:c r="G37" s="12" t="str">
        <x:v>ATG controls support this NIST outcome through context and risk identification.</x:v>
      </x:c>
      <x:c r="H37" s="12" t="str">
        <x:v>Use-case intake, risk assessment, architecture/design records, impact assessment</x:v>
      </x:c>
      <x:c r="I37" s="12" t="str">
        <x:v>Not Assessed</x:v>
      </x:c>
      <x:c r="J37" s="12" t="str"/>
      <x:c r="K37" s="12" t="str">
        <x:v>https://airc.nist.gov/airmf-resources/airmf/5-sec-core/</x:v>
      </x:c>
    </x:row>
    <x:row r="38" ht="36" customHeight="1">
      <x:c r="A38" s="12" t="str">
        <x:v>MAP</x:v>
      </x:c>
      <x:c r="B38" s="12" t="str">
        <x:v>MAP 5.2</x:v>
      </x:c>
      <x:c r="C38" s="12" t="str">
        <x:v>Practices support regular stakeholder engagement and impact feedback.</x:v>
      </x:c>
      <x:c r="D38" s="12" t="str">
        <x:v>AI-GOV-009, AI-RAI-006</x:v>
      </x:c>
      <x:c r="E38" s="12" t="str">
        <x:v>Partial</x:v>
      </x:c>
      <x:c r="F38" s="12" t="str">
        <x:v>Risk-based</x:v>
      </x:c>
      <x:c r="G38" s="12" t="str">
        <x:v>ATG controls support this NIST outcome through context and risk identification.</x:v>
      </x:c>
      <x:c r="H38" s="12" t="str">
        <x:v>Use-case intake, risk assessment, architecture/design records, impact assessment</x:v>
      </x:c>
      <x:c r="I38" s="12" t="str">
        <x:v>Not Assessed</x:v>
      </x:c>
      <x:c r="J38" s="12" t="str"/>
      <x:c r="K38" s="12" t="str">
        <x:v>https://airc.nist.gov/airmf-resources/airmf/5-sec-core/</x:v>
      </x:c>
    </x:row>
    <x:row r="39" ht="36" customHeight="1">
      <x:c r="A39" s="12" t="str">
        <x:v>MEASURE</x:v>
      </x:c>
      <x:c r="B39" s="12" t="str">
        <x:v>MEASURE 1.1</x:v>
      </x:c>
      <x:c r="C39" s="12" t="str">
        <x:v>Risk measurement approaches/metrics are selected, prioritizing significant risks.</x:v>
      </x:c>
      <x:c r="D39" s="12" t="str">
        <x:v>AI-RSK-001, AI-RSK-002, AI-RAI-005, AI-SEC-047</x:v>
      </x:c>
      <x:c r="E39" s="12" t="str">
        <x:v>Strong</x:v>
      </x:c>
      <x:c r="F39" s="12" t="str">
        <x:v>Tier 2-4</x:v>
      </x:c>
      <x:c r="G39" s="12" t="str">
        <x:v>ATG controls support this NIST outcome through testing, assurance and monitoring.</x:v>
      </x:c>
      <x:c r="H39" s="12" t="str">
        <x:v>TEVV results, security test reports, monitoring metrics, assurance evidence</x:v>
      </x:c>
      <x:c r="I39" s="12" t="str">
        <x:v>Not Assessed</x:v>
      </x:c>
      <x:c r="J39" s="12" t="str"/>
      <x:c r="K39" s="12" t="str">
        <x:v>https://airc.nist.gov/airmf-resources/airmf/5-sec-core/</x:v>
      </x:c>
    </x:row>
    <x:row r="40" ht="36" customHeight="1">
      <x:c r="A40" s="12" t="str">
        <x:v>MEASURE</x:v>
      </x:c>
      <x:c r="B40" s="12" t="str">
        <x:v>MEASURE 1.2</x:v>
      </x:c>
      <x:c r="C40" s="12" t="str">
        <x:v>Metric appropriateness and control effectiveness are regularly assessed and updated.</x:v>
      </x:c>
      <x:c r="D40" s="12" t="str">
        <x:v>AI-RAI-005, AI-SEC-047</x:v>
      </x:c>
      <x:c r="E40" s="12" t="str">
        <x:v>Partial</x:v>
      </x:c>
      <x:c r="F40" s="12" t="str">
        <x:v>Risk-based</x:v>
      </x:c>
      <x:c r="G40" s="12" t="str">
        <x:v>ATG controls support this NIST outcome through testing, assurance and monitoring.</x:v>
      </x:c>
      <x:c r="H40" s="12" t="str">
        <x:v>TEVV results, security test reports, monitoring metrics, assurance evidence</x:v>
      </x:c>
      <x:c r="I40" s="12" t="str">
        <x:v>Not Assessed</x:v>
      </x:c>
      <x:c r="J40" s="12" t="str"/>
      <x:c r="K40" s="12" t="str">
        <x:v>https://airc.nist.gov/airmf-resources/airmf/5-sec-core/</x:v>
      </x:c>
    </x:row>
    <x:row r="41" ht="36" customHeight="1">
      <x:c r="A41" s="12" t="str">
        <x:v>MEASURE</x:v>
      </x:c>
      <x:c r="B41" s="12" t="str">
        <x:v>MEASURE 1.3</x:v>
      </x:c>
      <x:c r="C41" s="12" t="str">
        <x:v>Independent/internal experts and relevant stakeholders support regular assessments.</x:v>
      </x:c>
      <x:c r="D41" s="12" t="str">
        <x:v>AI-GOV-009, AI-RAI-006</x:v>
      </x:c>
      <x:c r="E41" s="12" t="str">
        <x:v>Partial</x:v>
      </x:c>
      <x:c r="F41" s="12" t="str">
        <x:v>Risk-based</x:v>
      </x:c>
      <x:c r="G41" s="12" t="str">
        <x:v>ATG controls support this NIST outcome through testing, assurance and monitoring.</x:v>
      </x:c>
      <x:c r="H41" s="12" t="str">
        <x:v>TEVV results, security test reports, monitoring metrics, assurance evidence</x:v>
      </x:c>
      <x:c r="I41" s="12" t="str">
        <x:v>Not Assessed</x:v>
      </x:c>
      <x:c r="J41" s="12" t="str"/>
      <x:c r="K41" s="12" t="str">
        <x:v>https://airc.nist.gov/airmf-resources/airmf/5-sec-core/</x:v>
      </x:c>
    </x:row>
    <x:row r="42" ht="36" customHeight="1">
      <x:c r="A42" s="12" t="str">
        <x:v>MEASURE</x:v>
      </x:c>
      <x:c r="B42" s="12" t="str">
        <x:v>MEASURE 2.1</x:v>
      </x:c>
      <x:c r="C42" s="12" t="str">
        <x:v>Test sets, metrics and TEVV tools are documented.</x:v>
      </x:c>
      <x:c r="D42" s="12" t="str">
        <x:v>AI-RAI-005, AI-SEC-047</x:v>
      </x:c>
      <x:c r="E42" s="12" t="str">
        <x:v>Partial</x:v>
      </x:c>
      <x:c r="F42" s="12" t="str">
        <x:v>Risk-based</x:v>
      </x:c>
      <x:c r="G42" s="12" t="str">
        <x:v>ATG controls support this NIST outcome through testing, assurance and monitoring.</x:v>
      </x:c>
      <x:c r="H42" s="12" t="str">
        <x:v>TEVV results, security test reports, monitoring metrics, assurance evidence</x:v>
      </x:c>
      <x:c r="I42" s="12" t="str">
        <x:v>Not Assessed</x:v>
      </x:c>
      <x:c r="J42" s="12" t="str"/>
      <x:c r="K42" s="12" t="str">
        <x:v>https://airc.nist.gov/airmf-resources/airmf/5-sec-core/</x:v>
      </x:c>
    </x:row>
    <x:row r="43" ht="36" customHeight="1">
      <x:c r="A43" s="12" t="str">
        <x:v>MEASURE</x:v>
      </x:c>
      <x:c r="B43" s="12" t="str">
        <x:v>MEASURE 2.2</x:v>
      </x:c>
      <x:c r="C43" s="12" t="str">
        <x:v>Human-subject evaluations meet applicable requirements and represent relevant populations.</x:v>
      </x:c>
      <x:c r="D43" s="12" t="str">
        <x:v>AI-RAI-003, AI-SEC-009</x:v>
      </x:c>
      <x:c r="E43" s="12" t="str">
        <x:v>Partial</x:v>
      </x:c>
      <x:c r="F43" s="12" t="str">
        <x:v>Risk-based</x:v>
      </x:c>
      <x:c r="G43" s="12" t="str">
        <x:v>ATG controls support this NIST outcome through testing, assurance and monitoring.</x:v>
      </x:c>
      <x:c r="H43" s="12" t="str">
        <x:v>TEVV results, security test reports, monitoring metrics, assurance evidence</x:v>
      </x:c>
      <x:c r="I43" s="12" t="str">
        <x:v>Not Assessed</x:v>
      </x:c>
      <x:c r="J43" s="12" t="str"/>
      <x:c r="K43" s="12" t="str">
        <x:v>https://airc.nist.gov/airmf-resources/airmf/5-sec-core/</x:v>
      </x:c>
    </x:row>
    <x:row r="44" ht="36" customHeight="1">
      <x:c r="A44" s="12" t="str">
        <x:v>MEASURE</x:v>
      </x:c>
      <x:c r="B44" s="12" t="str">
        <x:v>MEASURE 2.3</x:v>
      </x:c>
      <x:c r="C44" s="12" t="str">
        <x:v>Performance/assurance criteria are measured under deployment-like conditions.</x:v>
      </x:c>
      <x:c r="D44" s="12" t="str">
        <x:v>AI-RAI-005, AI-SEC-047</x:v>
      </x:c>
      <x:c r="E44" s="12" t="str">
        <x:v>Partial</x:v>
      </x:c>
      <x:c r="F44" s="12" t="str">
        <x:v>Risk-based</x:v>
      </x:c>
      <x:c r="G44" s="12" t="str">
        <x:v>ATG controls support this NIST outcome through testing, assurance and monitoring.</x:v>
      </x:c>
      <x:c r="H44" s="12" t="str">
        <x:v>TEVV results, security test reports, monitoring metrics, assurance evidence</x:v>
      </x:c>
      <x:c r="I44" s="12" t="str">
        <x:v>Not Assessed</x:v>
      </x:c>
      <x:c r="J44" s="12" t="str"/>
      <x:c r="K44" s="12" t="str">
        <x:v>https://airc.nist.gov/airmf-resources/airmf/5-sec-core/</x:v>
      </x:c>
    </x:row>
    <x:row r="45" ht="36" customHeight="1">
      <x:c r="A45" s="12" t="str">
        <x:v>MEASURE</x:v>
      </x:c>
      <x:c r="B45" s="12" t="str">
        <x:v>MEASURE 2.4</x:v>
      </x:c>
      <x:c r="C45" s="12" t="str">
        <x:v>AI functionality and behavior are monitored in production.</x:v>
      </x:c>
      <x:c r="D45" s="12" t="str">
        <x:v>AI-SEC-052, AI-SEC-055, AI-RSK-004</x:v>
      </x:c>
      <x:c r="E45" s="12" t="str">
        <x:v>Partial</x:v>
      </x:c>
      <x:c r="F45" s="12" t="str">
        <x:v>Risk-based</x:v>
      </x:c>
      <x:c r="G45" s="12" t="str">
        <x:v>ATG controls support this NIST outcome through testing, assurance and monitoring.</x:v>
      </x:c>
      <x:c r="H45" s="12" t="str">
        <x:v>TEVV results, security test reports, monitoring metrics, assurance evidence</x:v>
      </x:c>
      <x:c r="I45" s="12" t="str">
        <x:v>Not Assessed</x:v>
      </x:c>
      <x:c r="J45" s="12" t="str"/>
      <x:c r="K45" s="12" t="str">
        <x:v>https://airc.nist.gov/airmf-resources/airmf/5-sec-core/</x:v>
      </x:c>
    </x:row>
    <x:row r="46" ht="36" customHeight="1">
      <x:c r="A46" s="12" t="str">
        <x:v>MEASURE</x:v>
      </x:c>
      <x:c r="B46" s="12" t="str">
        <x:v>MEASURE 2.5</x:v>
      </x:c>
      <x:c r="C46" s="12" t="str">
        <x:v>AI validity/reliability are demonstrated and generalizability limits documented.</x:v>
      </x:c>
      <x:c r="D46" s="12" t="str">
        <x:v>AI-RAI-005, AI-SEC-047</x:v>
      </x:c>
      <x:c r="E46" s="12" t="str">
        <x:v>Partial</x:v>
      </x:c>
      <x:c r="F46" s="12" t="str">
        <x:v>Risk-based</x:v>
      </x:c>
      <x:c r="G46" s="12" t="str">
        <x:v>ATG controls support this NIST outcome through testing, assurance and monitoring.</x:v>
      </x:c>
      <x:c r="H46" s="12" t="str">
        <x:v>TEVV results, security test reports, monitoring metrics, assurance evidence</x:v>
      </x:c>
      <x:c r="I46" s="12" t="str">
        <x:v>Not Assessed</x:v>
      </x:c>
      <x:c r="J46" s="12" t="str"/>
      <x:c r="K46" s="12" t="str">
        <x:v>https://airc.nist.gov/airmf-resources/airmf/5-sec-core/</x:v>
      </x:c>
    </x:row>
    <x:row r="47" ht="36" customHeight="1">
      <x:c r="A47" s="12" t="str">
        <x:v>MEASURE</x:v>
      </x:c>
      <x:c r="B47" s="12" t="str">
        <x:v>MEASURE 2.6</x:v>
      </x:c>
      <x:c r="C47" s="12" t="str">
        <x:v>Safety risks are regularly evaluated; residual risk and safe failure are addressed.</x:v>
      </x:c>
      <x:c r="D47" s="12" t="str">
        <x:v>AI-RSK-001, AI-RSK-002, AI-SEC-064, AI-SEC-065</x:v>
      </x:c>
      <x:c r="E47" s="12" t="str">
        <x:v>Strong</x:v>
      </x:c>
      <x:c r="F47" s="12" t="str">
        <x:v>Tier 2-4</x:v>
      </x:c>
      <x:c r="G47" s="12" t="str">
        <x:v>ATG controls support this NIST outcome through testing, assurance and monitoring.</x:v>
      </x:c>
      <x:c r="H47" s="12" t="str">
        <x:v>TEVV results, security test reports, monitoring metrics, assurance evidence</x:v>
      </x:c>
      <x:c r="I47" s="12" t="str">
        <x:v>Not Assessed</x:v>
      </x:c>
      <x:c r="J47" s="12" t="str"/>
      <x:c r="K47" s="12" t="str">
        <x:v>https://airc.nist.gov/airmf-resources/airmf/5-sec-core/</x:v>
      </x:c>
    </x:row>
    <x:row r="48" ht="36" customHeight="1">
      <x:c r="A48" s="12" t="str">
        <x:v>MEASURE</x:v>
      </x:c>
      <x:c r="B48" s="12" t="str">
        <x:v>MEASURE 2.7</x:v>
      </x:c>
      <x:c r="C48" s="12" t="str">
        <x:v>AI security and resilience are evaluated and documented.</x:v>
      </x:c>
      <x:c r="D48" s="12" t="str">
        <x:v>AI-SEC-001, AI-SEC-010, AI-SEC-055, AI-SEC-067</x:v>
      </x:c>
      <x:c r="E48" s="12" t="str">
        <x:v>Strong</x:v>
      </x:c>
      <x:c r="F48" s="12" t="str">
        <x:v>Tier 2-4</x:v>
      </x:c>
      <x:c r="G48" s="12" t="str">
        <x:v>ATG controls support this NIST outcome through testing, assurance and monitoring.</x:v>
      </x:c>
      <x:c r="H48" s="12" t="str">
        <x:v>TEVV results, security test reports, monitoring metrics, assurance evidence</x:v>
      </x:c>
      <x:c r="I48" s="12" t="str">
        <x:v>Not Assessed</x:v>
      </x:c>
      <x:c r="J48" s="12" t="str"/>
      <x:c r="K48" s="12" t="str">
        <x:v>https://airc.nist.gov/airmf-resources/airmf/5-sec-core/</x:v>
      </x:c>
    </x:row>
    <x:row r="49" ht="36" customHeight="1">
      <x:c r="A49" s="12" t="str">
        <x:v>MEASURE</x:v>
      </x:c>
      <x:c r="B49" s="12" t="str">
        <x:v>MEASURE 2.8</x:v>
      </x:c>
      <x:c r="C49" s="12" t="str">
        <x:v>Transparency and accountability risks are examined and documented.</x:v>
      </x:c>
      <x:c r="D49" s="12" t="str">
        <x:v>AI-RSK-001, AI-RSK-002, AI-RAI-002, AI-GOV-004</x:v>
      </x:c>
      <x:c r="E49" s="12" t="str">
        <x:v>Strong</x:v>
      </x:c>
      <x:c r="F49" s="12" t="str">
        <x:v>Tier 2-4</x:v>
      </x:c>
      <x:c r="G49" s="12" t="str">
        <x:v>ATG controls support this NIST outcome through testing, assurance and monitoring.</x:v>
      </x:c>
      <x:c r="H49" s="12" t="str">
        <x:v>TEVV results, security test reports, monitoring metrics, assurance evidence</x:v>
      </x:c>
      <x:c r="I49" s="12" t="str">
        <x:v>Not Assessed</x:v>
      </x:c>
      <x:c r="J49" s="12" t="str"/>
      <x:c r="K49" s="12" t="str">
        <x:v>https://airc.nist.gov/airmf-resources/airmf/5-sec-core/</x:v>
      </x:c>
    </x:row>
    <x:row r="50" ht="36" customHeight="1">
      <x:c r="A50" s="12" t="str">
        <x:v>MEASURE</x:v>
      </x:c>
      <x:c r="B50" s="12" t="str">
        <x:v>MEASURE 2.9</x:v>
      </x:c>
      <x:c r="C50" s="12" t="str">
        <x:v>Model explainability/validation and contextual interpretation of outputs are documented.</x:v>
      </x:c>
      <x:c r="D50" s="12" t="str">
        <x:v>AI-RAI-002, AI-GOV-004, AI-RAI-005, AI-SEC-047, AI-SEC-026, AI-SEC-029</x:v>
      </x:c>
      <x:c r="E50" s="12" t="str">
        <x:v>Strong</x:v>
      </x:c>
      <x:c r="F50" s="12" t="str">
        <x:v>Tier 2-4</x:v>
      </x:c>
      <x:c r="G50" s="12" t="str">
        <x:v>ATG controls support this NIST outcome through testing, assurance and monitoring.</x:v>
      </x:c>
      <x:c r="H50" s="12" t="str">
        <x:v>TEVV results, security test reports, monitoring metrics, assurance evidence</x:v>
      </x:c>
      <x:c r="I50" s="12" t="str">
        <x:v>Not Assessed</x:v>
      </x:c>
      <x:c r="J50" s="12" t="str"/>
      <x:c r="K50" s="12" t="str">
        <x:v>https://airc.nist.gov/airmf-resources/airmf/5-sec-core/</x:v>
      </x:c>
    </x:row>
    <x:row r="51" ht="36" customHeight="1">
      <x:c r="A51" s="12" t="str">
        <x:v>MEASURE</x:v>
      </x:c>
      <x:c r="B51" s="12" t="str">
        <x:v>MEASURE 2.10</x:v>
      </x:c>
      <x:c r="C51" s="12" t="str">
        <x:v>AI privacy risk is examined and documented.</x:v>
      </x:c>
      <x:c r="D51" s="12" t="str">
        <x:v>AI-RSK-001, AI-RSK-002, AI-DAT-003, AI-SEC-018, AI-SEC-020</x:v>
      </x:c>
      <x:c r="E51" s="12" t="str">
        <x:v>Strong</x:v>
      </x:c>
      <x:c r="F51" s="12" t="str">
        <x:v>Tier 2-4</x:v>
      </x:c>
      <x:c r="G51" s="12" t="str">
        <x:v>ATG controls support this NIST outcome through testing, assurance and monitoring.</x:v>
      </x:c>
      <x:c r="H51" s="12" t="str">
        <x:v>TEVV results, security test reports, monitoring metrics, assurance evidence</x:v>
      </x:c>
      <x:c r="I51" s="12" t="str">
        <x:v>Not Assessed</x:v>
      </x:c>
      <x:c r="J51" s="12" t="str"/>
      <x:c r="K51" s="12" t="str">
        <x:v>https://airc.nist.gov/airmf-resources/airmf/5-sec-core/</x:v>
      </x:c>
    </x:row>
    <x:row r="52" ht="36" customHeight="1">
      <x:c r="A52" s="12" t="str">
        <x:v>MEASURE</x:v>
      </x:c>
      <x:c r="B52" s="12" t="str">
        <x:v>MEASURE 2.11</x:v>
      </x:c>
      <x:c r="C52" s="12" t="str">
        <x:v>Fairness and bias are evaluated and documented.</x:v>
      </x:c>
      <x:c r="D52" s="12" t="str">
        <x:v>AI-RAI-004</x:v>
      </x:c>
      <x:c r="E52" s="12" t="str">
        <x:v>Partial</x:v>
      </x:c>
      <x:c r="F52" s="12" t="str">
        <x:v>Risk-based</x:v>
      </x:c>
      <x:c r="G52" s="12" t="str">
        <x:v>ATG controls support this NIST outcome through testing, assurance and monitoring.</x:v>
      </x:c>
      <x:c r="H52" s="12" t="str">
        <x:v>TEVV results, security test reports, monitoring metrics, assurance evidence</x:v>
      </x:c>
      <x:c r="I52" s="12" t="str">
        <x:v>Not Assessed</x:v>
      </x:c>
      <x:c r="J52" s="12" t="str"/>
      <x:c r="K52" s="12" t="str">
        <x:v>https://airc.nist.gov/airmf-resources/airmf/5-sec-core/</x:v>
      </x:c>
    </x:row>
    <x:row r="53" ht="36" customHeight="1">
      <x:c r="A53" s="12" t="str">
        <x:v>MEASURE</x:v>
      </x:c>
      <x:c r="B53" s="12" t="str">
        <x:v>MEASURE 2.12</x:v>
      </x:c>
      <x:c r="C53" s="12" t="str">
        <x:v>Environmental impact and sustainability are assessed and documented.</x:v>
      </x:c>
      <x:c r="D53" s="12" t="str"/>
      <x:c r="E53" s="12" t="str">
        <x:v>Gap</x:v>
      </x:c>
      <x:c r="F53" s="12" t="str">
        <x:v>Risk-based</x:v>
      </x:c>
      <x:c r="G53" s="12" t="str">
        <x:v>ATG controls support this NIST outcome through testing, assurance and monitoring.</x:v>
      </x:c>
      <x:c r="H53" s="12" t="str">
        <x:v>TEVV results, security test reports, monitoring metrics, assurance evidence</x:v>
      </x:c>
      <x:c r="I53" s="12" t="str">
        <x:v>Not Assessed</x:v>
      </x:c>
      <x:c r="J53" s="12" t="str"/>
      <x:c r="K53" s="12" t="str">
        <x:v>https://airc.nist.gov/airmf-resources/airmf/5-sec-core/</x:v>
      </x:c>
    </x:row>
    <x:row r="54" ht="36" customHeight="1">
      <x:c r="A54" s="12" t="str">
        <x:v>MEASURE</x:v>
      </x:c>
      <x:c r="B54" s="12" t="str">
        <x:v>MEASURE 2.13</x:v>
      </x:c>
      <x:c r="C54" s="12" t="str">
        <x:v>Effectiveness of TEVV metrics/processes is evaluated and documented.</x:v>
      </x:c>
      <x:c r="D54" s="12" t="str">
        <x:v>AI-RAI-005, AI-SEC-047</x:v>
      </x:c>
      <x:c r="E54" s="12" t="str">
        <x:v>Partial</x:v>
      </x:c>
      <x:c r="F54" s="12" t="str">
        <x:v>Risk-based</x:v>
      </x:c>
      <x:c r="G54" s="12" t="str">
        <x:v>ATG controls support this NIST outcome through testing, assurance and monitoring.</x:v>
      </x:c>
      <x:c r="H54" s="12" t="str">
        <x:v>TEVV results, security test reports, monitoring metrics, assurance evidence</x:v>
      </x:c>
      <x:c r="I54" s="12" t="str">
        <x:v>Not Assessed</x:v>
      </x:c>
      <x:c r="J54" s="12" t="str"/>
      <x:c r="K54" s="12" t="str">
        <x:v>https://airc.nist.gov/airmf-resources/airmf/5-sec-core/</x:v>
      </x:c>
    </x:row>
    <x:row r="55" ht="36" customHeight="1">
      <x:c r="A55" s="12" t="str">
        <x:v>MEASURE</x:v>
      </x:c>
      <x:c r="B55" s="12" t="str">
        <x:v>MEASURE 3.1</x:v>
      </x:c>
      <x:c r="C55" s="12" t="str">
        <x:v>Existing, unanticipated and emergent AI risks are regularly identified and tracked.</x:v>
      </x:c>
      <x:c r="D55" s="12" t="str">
        <x:v>AI-RSK-001, AI-RSK-002, AI-SEC-052, AI-SEC-055, AI-RSK-004</x:v>
      </x:c>
      <x:c r="E55" s="12" t="str">
        <x:v>Strong</x:v>
      </x:c>
      <x:c r="F55" s="12" t="str">
        <x:v>Tier 2-4</x:v>
      </x:c>
      <x:c r="G55" s="12" t="str">
        <x:v>ATG controls support this NIST outcome through testing, assurance and monitoring.</x:v>
      </x:c>
      <x:c r="H55" s="12" t="str">
        <x:v>TEVV results, security test reports, monitoring metrics, assurance evidence</x:v>
      </x:c>
      <x:c r="I55" s="12" t="str">
        <x:v>Not Assessed</x:v>
      </x:c>
      <x:c r="J55" s="12" t="str"/>
      <x:c r="K55" s="12" t="str">
        <x:v>https://airc.nist.gov/airmf-resources/airmf/5-sec-core/</x:v>
      </x:c>
    </x:row>
    <x:row r="56" ht="36" customHeight="1">
      <x:c r="A56" s="12" t="str">
        <x:v>MEASURE</x:v>
      </x:c>
      <x:c r="B56" s="12" t="str">
        <x:v>MEASURE 3.2</x:v>
      </x:c>
      <x:c r="C56" s="12" t="str">
        <x:v>Risk tracking approaches cover risks difficult to measure with current techniques.</x:v>
      </x:c>
      <x:c r="D56" s="12" t="str">
        <x:v>AI-RSK-001, AI-RSK-002, AI-SEC-052, AI-SEC-055, AI-RSK-004</x:v>
      </x:c>
      <x:c r="E56" s="12" t="str">
        <x:v>Strong</x:v>
      </x:c>
      <x:c r="F56" s="12" t="str">
        <x:v>Tier 2-4</x:v>
      </x:c>
      <x:c r="G56" s="12" t="str">
        <x:v>ATG controls support this NIST outcome through testing, assurance and monitoring.</x:v>
      </x:c>
      <x:c r="H56" s="12" t="str">
        <x:v>TEVV results, security test reports, monitoring metrics, assurance evidence</x:v>
      </x:c>
      <x:c r="I56" s="12" t="str">
        <x:v>Not Assessed</x:v>
      </x:c>
      <x:c r="J56" s="12" t="str"/>
      <x:c r="K56" s="12" t="str">
        <x:v>https://airc.nist.gov/airmf-resources/airmf/5-sec-core/</x:v>
      </x:c>
    </x:row>
    <x:row r="57" ht="36" customHeight="1">
      <x:c r="A57" s="12" t="str">
        <x:v>MEASURE</x:v>
      </x:c>
      <x:c r="B57" s="12" t="str">
        <x:v>MEASURE 3.3</x:v>
      </x:c>
      <x:c r="C57" s="12" t="str">
        <x:v>User/community feedback and appeal processes are integrated into evaluation metrics.</x:v>
      </x:c>
      <x:c r="D57" s="12" t="str">
        <x:v>AI-RAI-005, AI-SEC-047, AI-GOV-009, AI-RAI-006</x:v>
      </x:c>
      <x:c r="E57" s="12" t="str">
        <x:v>Partial</x:v>
      </x:c>
      <x:c r="F57" s="12" t="str">
        <x:v>Risk-based</x:v>
      </x:c>
      <x:c r="G57" s="12" t="str">
        <x:v>ATG controls support this NIST outcome through testing, assurance and monitoring.</x:v>
      </x:c>
      <x:c r="H57" s="12" t="str">
        <x:v>TEVV results, security test reports, monitoring metrics, assurance evidence</x:v>
      </x:c>
      <x:c r="I57" s="12" t="str">
        <x:v>Not Assessed</x:v>
      </x:c>
      <x:c r="J57" s="12" t="str"/>
      <x:c r="K57" s="12" t="str">
        <x:v>https://airc.nist.gov/airmf-resources/airmf/5-sec-core/</x:v>
      </x:c>
    </x:row>
    <x:row r="58" ht="36" customHeight="1">
      <x:c r="A58" s="12" t="str">
        <x:v>MEASURE</x:v>
      </x:c>
      <x:c r="B58" s="12" t="str">
        <x:v>MEASURE 4.1</x:v>
      </x:c>
      <x:c r="C58" s="12" t="str">
        <x:v>Risk measurement approaches are connected to deployment context and expert input.</x:v>
      </x:c>
      <x:c r="D58" s="12" t="str">
        <x:v>AI-RSK-001, AI-RSK-002</x:v>
      </x:c>
      <x:c r="E58" s="12" t="str">
        <x:v>Partial</x:v>
      </x:c>
      <x:c r="F58" s="12" t="str">
        <x:v>Risk-based</x:v>
      </x:c>
      <x:c r="G58" s="12" t="str">
        <x:v>ATG controls support this NIST outcome through testing, assurance and monitoring.</x:v>
      </x:c>
      <x:c r="H58" s="12" t="str">
        <x:v>TEVV results, security test reports, monitoring metrics, assurance evidence</x:v>
      </x:c>
      <x:c r="I58" s="12" t="str">
        <x:v>Not Assessed</x:v>
      </x:c>
      <x:c r="J58" s="12" t="str"/>
      <x:c r="K58" s="12" t="str">
        <x:v>https://airc.nist.gov/airmf-resources/airmf/5-sec-core/</x:v>
      </x:c>
    </x:row>
    <x:row r="59" ht="36" customHeight="1">
      <x:c r="A59" s="12" t="str">
        <x:v>MEASURE</x:v>
      </x:c>
      <x:c r="B59" s="12" t="str">
        <x:v>MEASURE 4.2</x:v>
      </x:c>
      <x:c r="C59" s="12" t="str">
        <x:v>Trustworthiness results are informed by experts and relevant AI actors.</x:v>
      </x:c>
      <x:c r="D59" s="12" t="str"/>
      <x:c r="E59" s="12" t="str">
        <x:v>Partial</x:v>
      </x:c>
      <x:c r="F59" s="12" t="str">
        <x:v>Risk-based</x:v>
      </x:c>
      <x:c r="G59" s="12" t="str">
        <x:v>ATG controls support this NIST outcome through testing, assurance and monitoring.</x:v>
      </x:c>
      <x:c r="H59" s="12" t="str">
        <x:v>TEVV results, security test reports, monitoring metrics, assurance evidence</x:v>
      </x:c>
      <x:c r="I59" s="12" t="str">
        <x:v>Not Assessed</x:v>
      </x:c>
      <x:c r="J59" s="12" t="str"/>
      <x:c r="K59" s="12" t="str">
        <x:v>https://airc.nist.gov/airmf-resources/airmf/5-sec-core/</x:v>
      </x:c>
    </x:row>
    <x:row r="60" ht="36" customHeight="1">
      <x:c r="A60" s="12" t="str">
        <x:v>MEASURE</x:v>
      </x:c>
      <x:c r="B60" s="12" t="str">
        <x:v>MEASURE 4.3</x:v>
      </x:c>
      <x:c r="C60" s="12" t="str">
        <x:v>Performance improvements/declines are identified using stakeholder and field data.</x:v>
      </x:c>
      <x:c r="D60" s="12" t="str">
        <x:v>AI-RAI-005, AI-SEC-047, AI-DAT-001, AI-DAT-002, AI-SEC-018, AI-GOV-009, AI-RAI-006</x:v>
      </x:c>
      <x:c r="E60" s="12" t="str">
        <x:v>Strong</x:v>
      </x:c>
      <x:c r="F60" s="12" t="str">
        <x:v>Tier 2-4</x:v>
      </x:c>
      <x:c r="G60" s="12" t="str">
        <x:v>ATG controls support this NIST outcome through testing, assurance and monitoring.</x:v>
      </x:c>
      <x:c r="H60" s="12" t="str">
        <x:v>TEVV results, security test reports, monitoring metrics, assurance evidence</x:v>
      </x:c>
      <x:c r="I60" s="12" t="str">
        <x:v>Not Assessed</x:v>
      </x:c>
      <x:c r="J60" s="12" t="str"/>
      <x:c r="K60" s="12" t="str">
        <x:v>https://airc.nist.gov/airmf-resources/airmf/5-sec-core/</x:v>
      </x:c>
    </x:row>
    <x:row r="61" ht="36" customHeight="1">
      <x:c r="A61" s="12" t="str">
        <x:v>MANAGE</x:v>
      </x:c>
      <x:c r="B61" s="12" t="str">
        <x:v>MANAGE 1.1</x:v>
      </x:c>
      <x:c r="C61" s="12" t="str">
        <x:v>Go/no-go determination considers intended purpose and objectives.</x:v>
      </x:c>
      <x:c r="D61" s="12" t="str">
        <x:v>AI-GOV-005, AI-RSK-001</x:v>
      </x:c>
      <x:c r="E61" s="12" t="str">
        <x:v>Partial</x:v>
      </x:c>
      <x:c r="F61" s="12" t="str">
        <x:v>Risk-based</x:v>
      </x:c>
      <x:c r="G61" s="12" t="str">
        <x:v>ATG controls support this NIST outcome through risk treatment and lifecycle management.</x:v>
      </x:c>
      <x:c r="H61" s="12" t="str">
        <x:v>Risk register, treatment plan, approval decision, incident/change records</x:v>
      </x:c>
      <x:c r="I61" s="12" t="str">
        <x:v>Not Assessed</x:v>
      </x:c>
      <x:c r="J61" s="12" t="str"/>
      <x:c r="K61" s="12" t="str">
        <x:v>https://airc.nist.gov/airmf-resources/airmf/5-sec-core/</x:v>
      </x:c>
    </x:row>
    <x:row r="62" ht="36" customHeight="1">
      <x:c r="A62" s="12" t="str">
        <x:v>MANAGE</x:v>
      </x:c>
      <x:c r="B62" s="12" t="str">
        <x:v>MANAGE 1.2</x:v>
      </x:c>
      <x:c r="C62" s="12" t="str">
        <x:v>Risk treatments are prioritized by impact, likelihood and available resources.</x:v>
      </x:c>
      <x:c r="D62" s="12" t="str">
        <x:v>AI-RSK-001, AI-RSK-002</x:v>
      </x:c>
      <x:c r="E62" s="12" t="str">
        <x:v>Partial</x:v>
      </x:c>
      <x:c r="F62" s="12" t="str">
        <x:v>Risk-based</x:v>
      </x:c>
      <x:c r="G62" s="12" t="str">
        <x:v>ATG controls support this NIST outcome through risk treatment and lifecycle management.</x:v>
      </x:c>
      <x:c r="H62" s="12" t="str">
        <x:v>Risk register, treatment plan, approval decision, incident/change records</x:v>
      </x:c>
      <x:c r="I62" s="12" t="str">
        <x:v>Not Assessed</x:v>
      </x:c>
      <x:c r="J62" s="12" t="str"/>
      <x:c r="K62" s="12" t="str">
        <x:v>https://airc.nist.gov/airmf-resources/airmf/5-sec-core/</x:v>
      </x:c>
    </x:row>
    <x:row r="63" ht="36" customHeight="1">
      <x:c r="A63" s="12" t="str">
        <x:v>MANAGE</x:v>
      </x:c>
      <x:c r="B63" s="12" t="str">
        <x:v>MANAGE 1.3</x:v>
      </x:c>
      <x:c r="C63" s="12" t="str">
        <x:v>Responses to high-priority AI risks are developed, planned and documented.</x:v>
      </x:c>
      <x:c r="D63" s="12" t="str">
        <x:v>AI-RSK-001, AI-RSK-002</x:v>
      </x:c>
      <x:c r="E63" s="12" t="str">
        <x:v>Partial</x:v>
      </x:c>
      <x:c r="F63" s="12" t="str">
        <x:v>Risk-based</x:v>
      </x:c>
      <x:c r="G63" s="12" t="str">
        <x:v>ATG controls support this NIST outcome through risk treatment and lifecycle management.</x:v>
      </x:c>
      <x:c r="H63" s="12" t="str">
        <x:v>Risk register, treatment plan, approval decision, incident/change records</x:v>
      </x:c>
      <x:c r="I63" s="12" t="str">
        <x:v>Not Assessed</x:v>
      </x:c>
      <x:c r="J63" s="12" t="str"/>
      <x:c r="K63" s="12" t="str">
        <x:v>https://airc.nist.gov/airmf-resources/airmf/5-sec-core/</x:v>
      </x:c>
    </x:row>
    <x:row r="64" ht="36" customHeight="1">
      <x:c r="A64" s="12" t="str">
        <x:v>MANAGE</x:v>
      </x:c>
      <x:c r="B64" s="12" t="str">
        <x:v>MANAGE 1.4</x:v>
      </x:c>
      <x:c r="C64" s="12" t="str">
        <x:v>Negative residual risks to downstream acquirers and end users are documented.</x:v>
      </x:c>
      <x:c r="D64" s="12" t="str">
        <x:v>AI-RSK-001, AI-RSK-002</x:v>
      </x:c>
      <x:c r="E64" s="12" t="str">
        <x:v>Partial</x:v>
      </x:c>
      <x:c r="F64" s="12" t="str">
        <x:v>Risk-based</x:v>
      </x:c>
      <x:c r="G64" s="12" t="str">
        <x:v>ATG controls support this NIST outcome through risk treatment and lifecycle management.</x:v>
      </x:c>
      <x:c r="H64" s="12" t="str">
        <x:v>Risk register, treatment plan, approval decision, incident/change records</x:v>
      </x:c>
      <x:c r="I64" s="12" t="str">
        <x:v>Not Assessed</x:v>
      </x:c>
      <x:c r="J64" s="12" t="str"/>
      <x:c r="K64" s="12" t="str">
        <x:v>https://airc.nist.gov/airmf-resources/airmf/5-sec-core/</x:v>
      </x:c>
    </x:row>
    <x:row r="65" ht="36" customHeight="1">
      <x:c r="A65" s="12" t="str">
        <x:v>MANAGE</x:v>
      </x:c>
      <x:c r="B65" s="12" t="str">
        <x:v>MANAGE 2.1</x:v>
      </x:c>
      <x:c r="C65" s="12" t="str">
        <x:v>Risk resources and viable non-AI alternatives are considered.</x:v>
      </x:c>
      <x:c r="D65" s="12" t="str">
        <x:v>AI-RSK-001, AI-RSK-002</x:v>
      </x:c>
      <x:c r="E65" s="12" t="str">
        <x:v>Partial</x:v>
      </x:c>
      <x:c r="F65" s="12" t="str">
        <x:v>Risk-based</x:v>
      </x:c>
      <x:c r="G65" s="12" t="str">
        <x:v>ATG controls support this NIST outcome through risk treatment and lifecycle management.</x:v>
      </x:c>
      <x:c r="H65" s="12" t="str">
        <x:v>Risk register, treatment plan, approval decision, incident/change records</x:v>
      </x:c>
      <x:c r="I65" s="12" t="str">
        <x:v>Not Assessed</x:v>
      </x:c>
      <x:c r="J65" s="12" t="str"/>
      <x:c r="K65" s="12" t="str">
        <x:v>https://airc.nist.gov/airmf-resources/airmf/5-sec-core/</x:v>
      </x:c>
    </x:row>
    <x:row r="66" ht="36" customHeight="1">
      <x:c r="A66" s="12" t="str">
        <x:v>MANAGE</x:v>
      </x:c>
      <x:c r="B66" s="12" t="str">
        <x:v>MANAGE 2.2</x:v>
      </x:c>
      <x:c r="C66" s="12" t="str">
        <x:v>Mechanisms sustain value of deployed AI systems.</x:v>
      </x:c>
      <x:c r="D66" s="12" t="str"/>
      <x:c r="E66" s="12" t="str">
        <x:v>Partial</x:v>
      </x:c>
      <x:c r="F66" s="12" t="str">
        <x:v>Risk-based</x:v>
      </x:c>
      <x:c r="G66" s="12" t="str">
        <x:v>ATG controls support this NIST outcome through risk treatment and lifecycle management.</x:v>
      </x:c>
      <x:c r="H66" s="12" t="str">
        <x:v>Risk register, treatment plan, approval decision, incident/change records</x:v>
      </x:c>
      <x:c r="I66" s="12" t="str">
        <x:v>Not Assessed</x:v>
      </x:c>
      <x:c r="J66" s="12" t="str"/>
      <x:c r="K66" s="12" t="str">
        <x:v>https://airc.nist.gov/airmf-resources/airmf/5-sec-core/</x:v>
      </x:c>
    </x:row>
    <x:row r="67" ht="36" customHeight="1">
      <x:c r="A67" s="12" t="str">
        <x:v>MANAGE</x:v>
      </x:c>
      <x:c r="B67" s="12" t="str">
        <x:v>MANAGE 2.3</x:v>
      </x:c>
      <x:c r="C67" s="12" t="str">
        <x:v>Procedures respond to and recover from newly identified risks.</x:v>
      </x:c>
      <x:c r="D67" s="12" t="str">
        <x:v>AI-RSK-001, AI-RSK-002, AI-SEC-057, AI-SEC-067, AI-SEC-068</x:v>
      </x:c>
      <x:c r="E67" s="12" t="str">
        <x:v>Strong</x:v>
      </x:c>
      <x:c r="F67" s="12" t="str">
        <x:v>Tier 2-4</x:v>
      </x:c>
      <x:c r="G67" s="12" t="str">
        <x:v>ATG controls support this NIST outcome through risk treatment and lifecycle management.</x:v>
      </x:c>
      <x:c r="H67" s="12" t="str">
        <x:v>Risk register, treatment plan, approval decision, incident/change records</x:v>
      </x:c>
      <x:c r="I67" s="12" t="str">
        <x:v>Not Assessed</x:v>
      </x:c>
      <x:c r="J67" s="12" t="str"/>
      <x:c r="K67" s="12" t="str">
        <x:v>https://airc.nist.gov/airmf-resources/airmf/5-sec-core/</x:v>
      </x:c>
    </x:row>
    <x:row r="68" ht="36" customHeight="1">
      <x:c r="A68" s="12" t="str">
        <x:v>MANAGE</x:v>
      </x:c>
      <x:c r="B68" s="12" t="str">
        <x:v>MANAGE 2.4</x:v>
      </x:c>
      <x:c r="C68" s="12" t="str">
        <x:v>Mechanisms/responsibilities exist to disengage or deactivate unsuitable AI.</x:v>
      </x:c>
      <x:c r="D68" s="12" t="str">
        <x:v>AI-GOV-003, AI-GOV-004, AI-GOV-007, AI-SEC-066</x:v>
      </x:c>
      <x:c r="E68" s="12" t="str">
        <x:v>Strong</x:v>
      </x:c>
      <x:c r="F68" s="12" t="str">
        <x:v>Tier 2-4</x:v>
      </x:c>
      <x:c r="G68" s="12" t="str">
        <x:v>ATG controls support this NIST outcome through risk treatment and lifecycle management.</x:v>
      </x:c>
      <x:c r="H68" s="12" t="str">
        <x:v>Risk register, treatment plan, approval decision, incident/change records</x:v>
      </x:c>
      <x:c r="I68" s="12" t="str">
        <x:v>Not Assessed</x:v>
      </x:c>
      <x:c r="J68" s="12" t="str"/>
      <x:c r="K68" s="12" t="str">
        <x:v>https://airc.nist.gov/airmf-resources/airmf/5-sec-core/</x:v>
      </x:c>
    </x:row>
    <x:row r="69" ht="36" customHeight="1">
      <x:c r="A69" s="12" t="str">
        <x:v>MANAGE</x:v>
      </x:c>
      <x:c r="B69" s="12" t="str">
        <x:v>MANAGE 3.1</x:v>
      </x:c>
      <x:c r="C69" s="12" t="str">
        <x:v>Third-party AI risks/benefits are regularly monitored and controls documented.</x:v>
      </x:c>
      <x:c r="D69" s="12" t="str">
        <x:v>AI-TPR-001, AI-TPR-002, AI-SEC-058, AI-SEC-061, AI-RSK-001, AI-RSK-002, AI-SEC-052, AI-SEC-055</x:v>
      </x:c>
      <x:c r="E69" s="12" t="str">
        <x:v>Strong</x:v>
      </x:c>
      <x:c r="F69" s="12" t="str">
        <x:v>Tier 2-4</x:v>
      </x:c>
      <x:c r="G69" s="12" t="str">
        <x:v>ATG controls support this NIST outcome through risk treatment and lifecycle management.</x:v>
      </x:c>
      <x:c r="H69" s="12" t="str">
        <x:v>Risk register, treatment plan, approval decision, incident/change records</x:v>
      </x:c>
      <x:c r="I69" s="12" t="str">
        <x:v>Not Assessed</x:v>
      </x:c>
      <x:c r="J69" s="12" t="str"/>
      <x:c r="K69" s="12" t="str">
        <x:v>https://airc.nist.gov/airmf-resources/airmf/5-sec-core/</x:v>
      </x:c>
    </x:row>
    <x:row r="70" ht="36" customHeight="1">
      <x:c r="A70" s="12" t="str">
        <x:v>MANAGE</x:v>
      </x:c>
      <x:c r="B70" s="12" t="str">
        <x:v>MANAGE 3.2</x:v>
      </x:c>
      <x:c r="C70" s="12" t="str">
        <x:v>Pre-trained models are included in regular monitoring and maintenance.</x:v>
      </x:c>
      <x:c r="D70" s="12" t="str">
        <x:v>AI-TPR-001, AI-TPR-002, AI-SEC-058, AI-SEC-061, AI-SEC-052, AI-SEC-055, AI-RSK-004</x:v>
      </x:c>
      <x:c r="E70" s="12" t="str">
        <x:v>Strong</x:v>
      </x:c>
      <x:c r="F70" s="12" t="str">
        <x:v>Tier 2-4</x:v>
      </x:c>
      <x:c r="G70" s="12" t="str">
        <x:v>ATG controls support this NIST outcome through risk treatment and lifecycle management.</x:v>
      </x:c>
      <x:c r="H70" s="12" t="str">
        <x:v>Risk register, treatment plan, approval decision, incident/change records</x:v>
      </x:c>
      <x:c r="I70" s="12" t="str">
        <x:v>Not Assessed</x:v>
      </x:c>
      <x:c r="J70" s="12" t="str"/>
      <x:c r="K70" s="12" t="str">
        <x:v>https://airc.nist.gov/airmf-resources/airmf/5-sec-core/</x:v>
      </x:c>
    </x:row>
    <x:row r="71" ht="36" customHeight="1">
      <x:c r="A71" s="12" t="str">
        <x:v>MANAGE</x:v>
      </x:c>
      <x:c r="B71" s="12" t="str">
        <x:v>MANAGE 4.1</x:v>
      </x:c>
      <x:c r="C71" s="12" t="str">
        <x:v>Post-deployment monitoring includes feedback, appeal/override, incidents, recovery and change.</x:v>
      </x:c>
      <x:c r="D71" s="12" t="str">
        <x:v>AI-SEC-057, AI-SEC-067, AI-SEC-068, AI-SEC-052, AI-SEC-055, AI-RSK-004, AI-GOV-009, AI-RAI-006</x:v>
      </x:c>
      <x:c r="E71" s="12" t="str">
        <x:v>Strong</x:v>
      </x:c>
      <x:c r="F71" s="12" t="str">
        <x:v>Tier 2-4</x:v>
      </x:c>
      <x:c r="G71" s="12" t="str">
        <x:v>ATG controls support this NIST outcome through risk treatment and lifecycle management.</x:v>
      </x:c>
      <x:c r="H71" s="12" t="str">
        <x:v>Risk register, treatment plan, approval decision, incident/change records</x:v>
      </x:c>
      <x:c r="I71" s="12" t="str">
        <x:v>Not Assessed</x:v>
      </x:c>
      <x:c r="J71" s="12" t="str"/>
      <x:c r="K71" s="12" t="str">
        <x:v>https://airc.nist.gov/airmf-resources/airmf/5-sec-core/</x:v>
      </x:c>
    </x:row>
    <x:row r="72" ht="36" customHeight="1">
      <x:c r="A72" s="12" t="str">
        <x:v>MANAGE</x:v>
      </x:c>
      <x:c r="B72" s="12" t="str">
        <x:v>MANAGE 4.2</x:v>
      </x:c>
      <x:c r="C72" s="12" t="str">
        <x:v>Continual improvement activities are integrated into AI updates with stakeholder engagement.</x:v>
      </x:c>
      <x:c r="D72" s="12" t="str">
        <x:v>AI-GOV-009, AI-RAI-006</x:v>
      </x:c>
      <x:c r="E72" s="12" t="str">
        <x:v>Partial</x:v>
      </x:c>
      <x:c r="F72" s="12" t="str">
        <x:v>Risk-based</x:v>
      </x:c>
      <x:c r="G72" s="12" t="str">
        <x:v>ATG controls support this NIST outcome through risk treatment and lifecycle management.</x:v>
      </x:c>
      <x:c r="H72" s="12" t="str">
        <x:v>Risk register, treatment plan, approval decision, incident/change records</x:v>
      </x:c>
      <x:c r="I72" s="12" t="str">
        <x:v>Not Assessed</x:v>
      </x:c>
      <x:c r="J72" s="12" t="str"/>
      <x:c r="K72" s="12" t="str">
        <x:v>https://airc.nist.gov/airmf-resources/airmf/5-sec-core/</x:v>
      </x:c>
    </x:row>
    <x:row r="73" ht="36" customHeight="1">
      <x:c r="A73" s="12" t="str">
        <x:v>MANAGE</x:v>
      </x:c>
      <x:c r="B73" s="12" t="str">
        <x:v>MANAGE 4.3</x:v>
      </x:c>
      <x:c r="C73" s="12" t="str">
        <x:v>Incidents/errors are communicated, tracked, responded to and recovered from.</x:v>
      </x:c>
      <x:c r="D73" s="12" t="str">
        <x:v>AI-SEC-057, AI-SEC-067, AI-SEC-068, AI-SEC-052, AI-SEC-055, AI-RSK-004</x:v>
      </x:c>
      <x:c r="E73" s="12" t="str">
        <x:v>Strong</x:v>
      </x:c>
      <x:c r="F73" s="12" t="str">
        <x:v>Tier 2-4</x:v>
      </x:c>
      <x:c r="G73" s="12" t="str">
        <x:v>ATG controls support this NIST outcome through risk treatment and lifecycle management.</x:v>
      </x:c>
      <x:c r="H73" s="12" t="str">
        <x:v>Risk register, treatment plan, approval decision, incident/change records</x:v>
      </x:c>
      <x:c r="I73" s="12" t="str">
        <x:v>Not Assessed</x:v>
      </x:c>
      <x:c r="J73" s="12" t="str"/>
      <x:c r="K73" s="12" t="str">
        <x:v>https://airc.nist.gov/airmf-resources/airmf/5-sec-core/</x:v>
      </x:c>
    </x:row>
  </x:sheetData>
  <x:conditionalFormatting sqref="E2:E73">
    <x:cfRule type="expression" dxfId="0" priority="1">
      <x:formula>E2="Gap"</x:formula>
    </x:cfRule>
    <x:cfRule type="expression" dxfId="1" priority="2">
      <x:formula>E2="Partial"</x:formula>
    </x:cfRule>
    <x:cfRule type="expression" dxfId="2" priority="3">
      <x:formula>E2="Strong"</x:formula>
    </x:cfRule>
  </x:conditionalFormatting>
  <x:dataValidations count="1">
    <x:dataValidation type="list" sqref="I2:I73">
      <x:formula1>"Not Assessed,Effective,Partially Effective,Ineffective,Not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7badc6c33342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7" t="str">
        <x:v>NIST AI RMF 1.0 Coverage Dashboard</x:v>
      </x:c>
      <x:c r="B1" s="27"/>
      <x:c r="C1" s="27"/>
      <x:c r="D1" s="27"/>
      <x:c r="E1" s="27"/>
      <x:c r="F1" s="27"/>
      <x:c r="G1" s="27"/>
      <x:c r="H1" s="27"/>
    </x:row>
    <x:row r="3">
      <x:c r="A3" s="6" t="str">
        <x:v>Metric</x:v>
      </x:c>
      <x:c r="B3" s="6" t="str">
        <x:v>Value</x:v>
      </x:c>
      <x:c r="C3" s="12"/>
      <x:c r="D3" s="6" t="str">
        <x:v>Function</x:v>
      </x:c>
      <x:c r="E3" s="6" t="str">
        <x:v>Subcategories</x:v>
      </x:c>
      <x:c r="F3" s="6" t="str">
        <x:v>Strong</x:v>
      </x:c>
    </x:row>
    <x:row r="4">
      <x:c r="A4" s="12" t="str">
        <x:v>Total NIST Subcategories</x:v>
      </x:c>
      <x:c r="B4" s="12" t="n">
        <x:v>72</x:v>
      </x:c>
      <x:c r="C4" s="12"/>
      <x:c r="D4" s="12" t="str">
        <x:v>GOVERN</x:v>
      </x:c>
      <x:c r="E4" s="12" t="n">
        <x:f>COUNTIF('NIST AI RMF Mapping'!A2:A73,"GOVERN")</x:f>
        <x:v>19</x:v>
      </x:c>
      <x:c r="F4" s="12" t="n">
        <x:f>COUNTIFS('NIST AI RMF Mapping'!A2:A73,"GOVERN",'NIST AI RMF Mapping'!E2:E73,"Strong")</x:f>
        <x:v>16</x:v>
      </x:c>
    </x:row>
    <x:row r="5">
      <x:c r="A5" s="12" t="str">
        <x:v>Strong Coverage</x:v>
      </x:c>
      <x:c r="B5" s="12" t="n">
        <x:f>COUNTIF('NIST AI RMF Mapping'!E2:E73,"Strong")</x:f>
        <x:v>33</x:v>
      </x:c>
      <x:c r="C5" s="12"/>
      <x:c r="D5" s="12" t="str">
        <x:v>MAP</x:v>
      </x:c>
      <x:c r="E5" s="12" t="n">
        <x:f>COUNTIF('NIST AI RMF Mapping'!A2:A73,"MAP")</x:f>
        <x:v>18</x:v>
      </x:c>
      <x:c r="F5" s="12" t="n">
        <x:f>COUNTIFS('NIST AI RMF Mapping'!A2:A73,"MAP",'NIST AI RMF Mapping'!E2:E73,"Strong")</x:f>
        <x:v>2</x:v>
      </x:c>
    </x:row>
    <x:row r="6">
      <x:c r="A6" s="12" t="str">
        <x:v>Partial Coverage</x:v>
      </x:c>
      <x:c r="B6" s="12" t="n">
        <x:f>COUNTIF('NIST AI RMF Mapping'!E2:E73,"Partial")</x:f>
        <x:v>38</x:v>
      </x:c>
      <x:c r="C6" s="12"/>
      <x:c r="D6" s="12" t="str">
        <x:v>MEASURE</x:v>
      </x:c>
      <x:c r="E6" s="12" t="n">
        <x:f>COUNTIF('NIST AI RMF Mapping'!A2:A73,"MEASURE")</x:f>
        <x:v>22</x:v>
      </x:c>
      <x:c r="F6" s="12" t="n">
        <x:f>COUNTIFS('NIST AI RMF Mapping'!A2:A73,"MEASURE",'NIST AI RMF Mapping'!E2:E73,"Strong")</x:f>
        <x:v>9</x:v>
      </x:c>
    </x:row>
    <x:row r="7">
      <x:c r="A7" s="12" t="str">
        <x:v>Coverage Gaps</x:v>
      </x:c>
      <x:c r="B7" s="12" t="n">
        <x:f>COUNTIF('NIST AI RMF Mapping'!E2:E73,"Gap")</x:f>
        <x:v>1</x:v>
      </x:c>
      <x:c r="C7" s="12"/>
      <x:c r="D7" s="12" t="str">
        <x:v>MANAGE</x:v>
      </x:c>
      <x:c r="E7" s="12" t="n">
        <x:f>COUNTIF('NIST AI RMF Mapping'!A2:A73,"MANAGE")</x:f>
        <x:v>13</x:v>
      </x:c>
      <x:c r="F7" s="12" t="n">
        <x:f>COUNTIFS('NIST AI RMF Mapping'!A2:A73,"MANAGE",'NIST AI RMF Mapping'!E2:E73,"Strong")</x:f>
        <x:v>6</x:v>
      </x:c>
    </x:row>
    <x:row r="8">
      <x:c r="A8" s="12" t="str">
        <x:v>Coverage %</x:v>
      </x:c>
      <x:c r="B8" s="32" t="n">
        <x:f>(B5+B6*0.5)/B4</x:f>
        <x:v>0.7222222222222222</x:v>
      </x:c>
      <x:c r="C8" s="12"/>
      <x:c r="D8" s="12" t="str">
        <x:v>Total</x:v>
      </x:c>
      <x:c r="E8" s="12" t="n">
        <x:f>SUM(E4:E7)</x:f>
        <x:v>72</x:v>
      </x:c>
      <x:c r="F8" s="12" t="n">
        <x:f>SUM(F4:F7)</x:f>
        <x:v>33</x:v>
      </x:c>
    </x:row>
    <x:row r="30">
      <x:c r="A30" s="36" t="str">
        <x:v>Interpretation: 'Strong' means multiple ATG controls materially support the NIST outcome; 'Partial' means the outcome is only partly addressed or needs stronger evidence; 'Gap' means the current ATG catalogue needs an additional control or assurance mechanism. This is an internal alignment assessment, not a NIST certification.</x:v>
      </x:c>
      <x:c r="B30" s="36"/>
      <x:c r="C30" s="36"/>
      <x:c r="D30" s="36"/>
      <x:c r="E30" s="36"/>
      <x:c r="F30" s="36"/>
      <x:c r="G30" s="36"/>
      <x:c r="H30" s="36"/>
    </x:row>
    <x:row r="31">
      <x:c r="A31" s="36"/>
      <x:c r="B31" s="36"/>
      <x:c r="C31" s="36"/>
      <x:c r="D31" s="36"/>
      <x:c r="E31" s="36"/>
      <x:c r="F31" s="36"/>
      <x:c r="G31" s="36"/>
      <x:c r="H31" s="36"/>
    </x:row>
    <x:row r="32">
      <x:c r="A32" s="36"/>
      <x:c r="B32" s="36"/>
      <x:c r="C32" s="36"/>
      <x:c r="D32" s="36"/>
      <x:c r="E32" s="36"/>
      <x:c r="F32" s="36"/>
      <x:c r="G32" s="36"/>
      <x:c r="H32" s="36"/>
    </x:row>
    <x:row r="33">
      <x:c r="A33" s="36"/>
      <x:c r="B33" s="36"/>
      <x:c r="C33" s="36"/>
      <x:c r="D33" s="36"/>
      <x:c r="E33" s="36"/>
      <x:c r="F33" s="36"/>
      <x:c r="G33" s="36"/>
      <x:c r="H33" s="36"/>
    </x:row>
  </x:sheetData>
  <x:mergeCells>
    <x:mergeCell ref="A1:H1"/>
    <x:mergeCell ref="A30:H33"/>
  </x:mergeCells>
  <x:pageMargins left="0.7" right="0.7" top="0.75" bottom="0.75" header="0.3" footer="0.3"/>
  <x:drawing xmlns:r="http://schemas.openxmlformats.org/officeDocument/2006/relationships" r:id="R19a71dcba4ab4c75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4" customHeight="1">
      <x:c r="A1" s="24" t="str">
        <x:v>NIST AI RMF 1.0 Mapping Guide</x:v>
      </x:c>
      <x:c r="B1" s="24" t="str"/>
    </x:row>
    <x:row r="2" ht="34" customHeight="1">
      <x:c r="A2" s="20" t="str">
        <x:v>Framework</x:v>
      </x:c>
      <x:c r="B2" s="12" t="str">
        <x:v>NIST AI Risk Management Framework (AI RMF) 1.0</x:v>
      </x:c>
    </x:row>
    <x:row r="3" ht="34" customHeight="1">
      <x:c r="A3" s="20" t="str">
        <x:v>Status</x:v>
      </x:c>
      <x:c r="B3" s="12" t="str">
        <x:v>AI RMF 1.0 is currently being revised by NIST; this workbook maps to the published 1.0 Core.</x:v>
      </x:c>
    </x:row>
    <x:row r="4" ht="34" customHeight="1">
      <x:c r="A4" s="20" t="str">
        <x:v>Purpose</x:v>
      </x:c>
      <x:c r="B4" s="12" t="str">
        <x:v>Map ATG AI governance/security controls to all 72 AI RMF Core subcategories and identify coverage gaps.</x:v>
      </x:c>
    </x:row>
    <x:row r="5" ht="34" customHeight="1">
      <x:c r="A5" s="20" t="str">
        <x:v>GOVERN</x:v>
      </x:c>
      <x:c r="B5" s="12" t="str">
        <x:v>Cross-cutting governance, policies, accountability, culture, inventory and third-party risk.</x:v>
      </x:c>
    </x:row>
    <x:row r="6" ht="34" customHeight="1">
      <x:c r="A6" s="20" t="str">
        <x:v>MAP</x:v>
      </x:c>
      <x:c r="B6" s="12" t="str">
        <x:v>Establish context, categorize systems, understand benefits/costs, risks and impacts.</x:v>
      </x:c>
    </x:row>
    <x:row r="7" ht="34" customHeight="1">
      <x:c r="A7" s="20" t="str">
        <x:v>MEASURE</x:v>
      </x:c>
      <x:c r="B7" s="12" t="str">
        <x:v>Assess, test, evaluate, verify, validate and monitor AI risk and trustworthiness.</x:v>
      </x:c>
    </x:row>
    <x:row r="8" ht="34" customHeight="1">
      <x:c r="A8" s="20" t="str">
        <x:v>MANAGE</x:v>
      </x:c>
      <x:c r="B8" s="12" t="str">
        <x:v>Prioritize and treat risk, monitor deployed systems, respond/recover and improve.</x:v>
      </x:c>
    </x:row>
    <x:row r="9" ht="34" customHeight="1">
      <x:c r="A9" s="20" t="str">
        <x:v>Important</x:v>
      </x:c>
      <x:c r="B9" s="12" t="str">
        <x:v>NIST states the AI RMF/Playbook is voluntary and not a checklist. Mapping indicates alignment, not certification or compliance.</x:v>
      </x:c>
    </x:row>
    <x:row r="10" ht="34" customHeight="1">
      <x:c r="A10" s="20" t="str">
        <x:v>Official AI RMF</x:v>
      </x:c>
      <x:c r="B10" s="12" t="str">
        <x:v>https://www.nist.gov/itl/ai-risk-management-framework</x:v>
      </x:c>
    </x:row>
    <x:row r="11" ht="34" customHeight="1">
      <x:c r="A11" s="20" t="str">
        <x:v>Official Core</x:v>
      </x:c>
      <x:c r="B11" s="12" t="str">
        <x:v>https://airc.nist.gov/airmf-resources/airmf/5-sec-core/</x:v>
      </x:c>
    </x:row>
    <x:row r="12" ht="34" customHeight="1">
      <x:c r="A12" s="20" t="str">
        <x:v>Official Playbook</x:v>
      </x:c>
      <x:c r="B12" s="12" t="str">
        <x:v>https://www.nist.gov/itl/ai-risk-management-framework/nist-ai-rmf-playbook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6" t="str">
        <x:v>Assessment Status</x:v>
      </x:c>
      <x:c r="B1" s="6" t="str">
        <x:v>Coverage</x:v>
      </x:c>
    </x:row>
    <x:row r="2">
      <x:c r="A2" t="str">
        <x:v>Not Assessed</x:v>
      </x:c>
      <x:c r="B2" t="str">
        <x:v>Strong</x:v>
      </x:c>
    </x:row>
    <x:row r="3">
      <x:c r="A3" t="str">
        <x:v>Effective</x:v>
      </x:c>
      <x:c r="B3" t="str">
        <x:v>Partial</x:v>
      </x:c>
    </x:row>
    <x:row r="4">
      <x:c r="A4" t="str">
        <x:v>Partially Effective</x:v>
      </x:c>
      <x:c r="B4" t="str">
        <x:v>Gap</x:v>
      </x:c>
    </x:row>
    <x:row r="5">
      <x:c r="A5" t="str">
        <x:v>Ineffective</x:v>
      </x:c>
      <x:c r="B5" t="str"/>
    </x:row>
    <x:row r="6">
      <x:c r="A6" t="str">
        <x:v>Not Applicable</x:v>
      </x:c>
      <x:c r="B6" t="str"/>
    </x:row>
  </x:sheetData>
  <x:pageMargins left="0.7" right="0.7" top="0.75" bottom="0.75" header="0.3" footer="0.3"/>
</x:worksheet>
</file>