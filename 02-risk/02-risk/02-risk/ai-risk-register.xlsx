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7909fb455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Risk Register" sheetId="1" r:id="R6fe9ff3256fb48d0"/>
    <x:sheet xmlns:r="http://schemas.openxmlformats.org/officeDocument/2006/relationships" name="Dashboard" sheetId="2" r:id="R408dbfc7bc8a4dbf"/>
    <x:sheet xmlns:r="http://schemas.openxmlformats.org/officeDocument/2006/relationships" name="Assessment Guide" sheetId="3" r:id="Rb2745da7bd384184"/>
    <x:sheet xmlns:r="http://schemas.openxmlformats.org/officeDocument/2006/relationships" name="Lists" sheetId="4" r:id="R722962d904e7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fad06dd8e4828" /><Relationship Type="http://schemas.openxmlformats.org/officeDocument/2006/relationships/theme" Target="/xl/theme/theme1.xml" Id="R3d07cd40f3b14984" /><Relationship Type="http://schemas.openxmlformats.org/officeDocument/2006/relationships/sharedStrings" Target="/xl/sharedStrings.xml" Id="R1d5ca63ee95d407b" /><Relationship Type="http://schemas.openxmlformats.org/officeDocument/2006/relationships/worksheet" Target="/xl/worksheets/sheet1.xml" Id="R6fe9ff3256fb48d0" /><Relationship Type="http://schemas.openxmlformats.org/officeDocument/2006/relationships/worksheet" Target="/xl/worksheets/sheet2.xml" Id="R408dbfc7bc8a4dbf" /><Relationship Type="http://schemas.openxmlformats.org/officeDocument/2006/relationships/worksheet" Target="/xl/worksheets/sheet3.xml" Id="Rb2745da7bd384184" /><Relationship Type="http://schemas.openxmlformats.org/officeDocument/2006/relationships/worksheet" Target="/xl/worksheets/sheet4.xml" Id="R722962d904e748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e445d59f4442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Use Cases by Inherent Risk Tier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e445d59f4442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RiskRegisterTable" displayName="AIRiskRegisterTable" ref="A1:AA200" headerRowCount="1" totalsRowCount="0" totalsRowShown="0">
  <x:tableColumns count="27">
    <x:tableColumn id="1" name="Risk ID"/>
    <x:tableColumn id="2" name="AI Use Case"/>
    <x:tableColumn id="3" name="Business Owner"/>
    <x:tableColumn id="4" name="Technology Owner"/>
    <x:tableColumn id="5" name="Status"/>
    <x:tableColumn id="6" name="Data Sensitivity"/>
    <x:tableColumn id="7" name="Decision Impact"/>
    <x:tableColumn id="8" name="AI Autonomy"/>
    <x:tableColumn id="9" name="Cybersecurity Exposure"/>
    <x:tableColumn id="10" name="Privacy Impact"/>
    <x:tableColumn id="11" name="Safety / Operational Impact"/>
    <x:tableColumn id="12" name="Regulatory Impact"/>
    <x:tableColumn id="13" name="External Exposure"/>
    <x:tableColumn id="14" name="Third-Party Dependency"/>
    <x:tableColumn id="15" name="Inherent Score"/>
    <x:tableColumn id="16" name="Base Tier"/>
    <x:tableColumn id="17" name="Elevation Rule"/>
    <x:tableColumn id="18" name="Final Inherent Tier"/>
    <x:tableColumn id="19" name="Key Risk / Rationale"/>
    <x:tableColumn id="20" name="Primary Treatment / Controls"/>
    <x:tableColumn id="21" name="Treatment Status"/>
    <x:tableColumn id="22" name="Residual Score"/>
    <x:tableColumn id="23" name="Residual Tier"/>
    <x:tableColumn id="24" name="Risk Owner"/>
    <x:tableColumn id="25" name="Decision"/>
    <x:tableColumn id="26" name="Next Review Date"/>
    <x:tableColumn id="27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742d1414e745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1008138b118461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8" hidden="0" customWidth="1"/>
    <x:col min="10" max="10" width="14" hidden="0" customWidth="1"/>
    <x:col min="11" max="11" width="20" hidden="0" customWidth="1"/>
    <x:col min="12" max="12" width="16" hidden="0" customWidth="1"/>
    <x:col min="13" max="13" width="15" hidden="0" customWidth="1"/>
    <x:col min="14" max="14" width="18" hidden="0" customWidth="1"/>
    <x:col min="15" max="15" width="14" hidden="0" customWidth="1"/>
    <x:col min="16" max="16" width="18" hidden="0" customWidth="1"/>
    <x:col min="17" max="17" width="18" hidden="0" customWidth="1"/>
    <x:col min="18" max="18" width="19" hidden="0" customWidth="1"/>
    <x:col min="19" max="19" width="36" hidden="0" customWidth="1"/>
    <x:col min="20" max="20" width="42" hidden="0" customWidth="1"/>
    <x:col min="21" max="21" width="16" hidden="0" customWidth="1"/>
    <x:col min="22" max="22" width="14" hidden="0" customWidth="1"/>
    <x:col min="23" max="23" width="18" hidden="0" customWidth="1"/>
    <x:col min="24" max="24" width="20" hidden="0" customWidth="1"/>
    <x:col min="25" max="25" width="25" hidden="0" customWidth="1"/>
    <x:col min="26" max="26" width="16" hidden="0" customWidth="1"/>
    <x:col min="27" max="27" width="36" hidden="0" customWidth="1"/>
  </x:cols>
  <x:sheetData>
    <x:row r="1">
      <x:c r="A1" s="6" t="str">
        <x:v>Risk ID</x:v>
      </x:c>
      <x:c r="B1" s="6" t="str">
        <x:v>AI Use Case</x:v>
      </x:c>
      <x:c r="C1" s="6" t="str">
        <x:v>Business Owner</x:v>
      </x:c>
      <x:c r="D1" s="6" t="str">
        <x:v>Technology Owner</x:v>
      </x:c>
      <x:c r="E1" s="6" t="str">
        <x:v>Status</x:v>
      </x:c>
      <x:c r="F1" s="6" t="str">
        <x:v>Data Sensitivity</x:v>
      </x:c>
      <x:c r="G1" s="6" t="str">
        <x:v>Decision Impact</x:v>
      </x:c>
      <x:c r="H1" s="6" t="str">
        <x:v>AI Autonomy</x:v>
      </x:c>
      <x:c r="I1" s="6" t="str">
        <x:v>Cybersecurity Exposure</x:v>
      </x:c>
      <x:c r="J1" s="6" t="str">
        <x:v>Privacy Impact</x:v>
      </x:c>
      <x:c r="K1" s="6" t="str">
        <x:v>Safety / Operational Impact</x:v>
      </x:c>
      <x:c r="L1" s="6" t="str">
        <x:v>Regulatory Impact</x:v>
      </x:c>
      <x:c r="M1" s="6" t="str">
        <x:v>External Exposure</x:v>
      </x:c>
      <x:c r="N1" s="6" t="str">
        <x:v>Third-Party Dependency</x:v>
      </x:c>
      <x:c r="O1" s="6" t="str">
        <x:v>Inherent Score</x:v>
      </x:c>
      <x:c r="P1" s="6" t="str">
        <x:v>Base Tier</x:v>
      </x:c>
      <x:c r="Q1" s="6" t="str">
        <x:v>Elevation Rule</x:v>
      </x:c>
      <x:c r="R1" s="6" t="str">
        <x:v>Final Inherent Tier</x:v>
      </x:c>
      <x:c r="S1" s="6" t="str">
        <x:v>Key Risk / Rationale</x:v>
      </x:c>
      <x:c r="T1" s="6" t="str">
        <x:v>Primary Treatment / Controls</x:v>
      </x:c>
      <x:c r="U1" s="6" t="str">
        <x:v>Treatment Status</x:v>
      </x:c>
      <x:c r="V1" s="6" t="str">
        <x:v>Residual Score</x:v>
      </x:c>
      <x:c r="W1" s="6" t="str">
        <x:v>Residual Tier</x:v>
      </x:c>
      <x:c r="X1" s="6" t="str">
        <x:v>Risk Owner</x:v>
      </x:c>
      <x:c r="Y1" s="6" t="str">
        <x:v>Decision</x:v>
      </x:c>
      <x:c r="Z1" s="6" t="str">
        <x:v>Next Review Date</x:v>
      </x:c>
      <x:c r="AA1" s="6" t="str">
        <x:v>Evidence / Notes</x:v>
      </x:c>
    </x:row>
    <x:row r="2">
      <x:c r="A2" s="12" t="str">
        <x:v>AI-001</x:v>
      </x:c>
      <x:c r="B2" s="12" t="str">
        <x:v>Internal Enterprise RAG Assistant</x:v>
      </x:c>
      <x:c r="C2" s="12" t="str">
        <x:v>Knowledge Services</x:v>
      </x:c>
      <x:c r="D2" s="12" t="str">
        <x:v>Digital Platforms</x:v>
      </x:c>
      <x:c r="E2" s="12" t="str">
        <x:v>In Production</x:v>
      </x:c>
      <x:c r="F2" s="12" t="n">
        <x:v>2</x:v>
      </x:c>
      <x:c r="G2" s="12" t="n">
        <x:v>1</x:v>
      </x:c>
      <x:c r="H2" s="12" t="n">
        <x:v>1</x:v>
      </x:c>
      <x:c r="I2" s="12" t="n">
        <x:v>2</x:v>
      </x:c>
      <x:c r="J2" s="12" t="n">
        <x:v>2</x:v>
      </x:c>
      <x:c r="K2" s="12" t="n">
        <x:v>1</x:v>
      </x:c>
      <x:c r="L2" s="12" t="n">
        <x:v>1</x:v>
      </x:c>
      <x:c r="M2" s="12" t="n">
        <x:v>1</x:v>
      </x:c>
      <x:c r="N2" s="12" t="n">
        <x:v>2</x:v>
      </x:c>
      <x:c r="O2" s="12" t="n">
        <x:f>SUM(F2:N2)</x:f>
        <x:v>13</x:v>
      </x:c>
      <x:c r="P2" s="12" t="str">
        <x:f>IF(O2="","",IF(O2&lt;=14,"Tier 1 - Minimal",IF(O2&lt;=21,"Tier 2 - Limited",IF(O2&lt;=28,"Tier 3 - High","Tier 4 - Critical"))))</x:f>
        <x:v>Tier 1 - Minimal</x:v>
      </x:c>
      <x:c r="Q2" s="12" t="str">
        <x:v>No</x:v>
      </x:c>
      <x:c r="R2" s="12" t="str">
        <x:f>IF(O2="","",IF(Q2="Yes - Tier 4","Tier 4 - Critical",IF(Q2="Yes - Tier 3",IF(O2&lt;=28,"Tier 3 - High",P2),P2)))</x:f>
        <x:v>Tier 1 - Minimal</x:v>
      </x:c>
      <x:c r="S2" s="12" t="str">
        <x:v>Potential unauthorised retrieval across document permissions.</x:v>
      </x:c>
      <x:c r="T2" s="12" t="str">
        <x:v>Identity-aware retrieval, source ACL enforcement, prompt injection controls, logging.</x:v>
      </x:c>
      <x:c r="U2" s="12" t="str">
        <x:v>Implemented</x:v>
      </x:c>
      <x:c r="V2" s="12" t="n">
        <x:v>11</x:v>
      </x:c>
      <x:c r="W2" s="12" t="str">
        <x:f>IF(V2="","",IF(V2&lt;=14,"Tier 1 - Minimal",IF(V2&lt;=21,"Tier 2 - Limited",IF(V2&lt;=28,"Tier 3 - High","Tier 4 - Critical"))))</x:f>
        <x:v>Tier 1 - Minimal</x:v>
      </x:c>
      <x:c r="X2" s="12" t="str">
        <x:v>Knowledge Services</x:v>
      </x:c>
      <x:c r="Y2" s="12" t="str">
        <x:v>Accept</x:v>
      </x:c>
      <x:c r="Z2" s="14" t="n">
        <x:v>46477</x:v>
      </x:c>
      <x:c r="AA2" s="12" t="str">
        <x:v>Fictional ATG portfolio example.</x:v>
      </x:c>
    </x:row>
    <x:row r="3">
      <x:c r="A3" s="12" t="str">
        <x:v>AI-002</x:v>
      </x:c>
      <x:c r="B3" s="12" t="str">
        <x:v>Public Customer AI Assistant</x:v>
      </x:c>
      <x:c r="C3" s="12" t="str">
        <x:v>Customer Experience</x:v>
      </x:c>
      <x:c r="D3" s="12" t="str">
        <x:v>Digital Platforms</x:v>
      </x:c>
      <x:c r="E3" s="12" t="str">
        <x:v>Assessment</x:v>
      </x:c>
      <x:c r="F3" s="12" t="n">
        <x:v>3</x:v>
      </x:c>
      <x:c r="G3" s="12" t="n">
        <x:v>2</x:v>
      </x:c>
      <x:c r="H3" s="12" t="n">
        <x:v>2</x:v>
      </x:c>
      <x:c r="I3" s="12" t="n">
        <x:v>3</x:v>
      </x:c>
      <x:c r="J3" s="12" t="n">
        <x:v>3</x:v>
      </x:c>
      <x:c r="K3" s="12" t="n">
        <x:v>2</x:v>
      </x:c>
      <x:c r="L3" s="12" t="n">
        <x:v>2</x:v>
      </x:c>
      <x:c r="M3" s="12" t="n">
        <x:v>4</x:v>
      </x:c>
      <x:c r="N3" s="12" t="n">
        <x:v>2</x:v>
      </x:c>
      <x:c r="O3" s="12" t="n">
        <x:f>SUM(F3:N3)</x:f>
        <x:v>23</x:v>
      </x:c>
      <x:c r="P3" s="12" t="str">
        <x:f>IF(O3="","",IF(O3&lt;=14,"Tier 1 - Minimal",IF(O3&lt;=21,"Tier 2 - Limited",IF(O3&lt;=28,"Tier 3 - High","Tier 4 - Critical"))))</x:f>
        <x:v>Tier 3 - High</x:v>
      </x:c>
      <x:c r="Q3" s="12" t="str">
        <x:v>No</x:v>
      </x:c>
      <x:c r="R3" s="12" t="str">
        <x:f>IF(O3="","",IF(Q3="Yes - Tier 4","Tier 4 - Critical",IF(Q3="Yes - Tier 3",IF(O3&lt;=28,"Tier 3 - High",P3),P3)))</x:f>
        <x:v>Tier 3 - High</x:v>
      </x:c>
      <x:c r="S3" s="12" t="str">
        <x:v>Public attack surface and possible disclosure of customer information.</x:v>
      </x:c>
      <x:c r="T3" s="12" t="str">
        <x:v>API gateway, strong identity for account functions, content safety, DLP, output validation, monitoring.</x:v>
      </x:c>
      <x:c r="U3" s="12" t="str">
        <x:v>In Progress</x:v>
      </x:c>
      <x:c r="V3" s="12" t="n">
        <x:v>18</x:v>
      </x:c>
      <x:c r="W3" s="12" t="str">
        <x:f>IF(V3="","",IF(V3&lt;=14,"Tier 1 - Minimal",IF(V3&lt;=21,"Tier 2 - Limited",IF(V3&lt;=28,"Tier 3 - High","Tier 4 - Critical"))))</x:f>
        <x:v>Tier 2 - Limited</x:v>
      </x:c>
      <x:c r="X3" s="12" t="str">
        <x:v>Customer Experience</x:v>
      </x:c>
      <x:c r="Y3" s="12" t="str">
        <x:v>Further Treatment Required</x:v>
      </x:c>
      <x:c r="Z3" s="14" t="n">
        <x:v>46371</x:v>
      </x:c>
      <x:c r="AA3" s="12" t="str">
        <x:v>Requires privacy and security assurance.</x:v>
      </x:c>
    </x:row>
    <x:row r="4">
      <x:c r="A4" s="12" t="str">
        <x:v>AI-003</x:v>
      </x:c>
      <x:c r="B4" s="12" t="str">
        <x:v>Autonomous Operational Maintenance Agent</x:v>
      </x:c>
      <x:c r="C4" s="12" t="str">
        <x:v>Operations</x:v>
      </x:c>
      <x:c r="D4" s="12" t="str">
        <x:v>Operational Technology</x:v>
      </x:c>
      <x:c r="E4" s="12" t="str">
        <x:v>Proposed</x:v>
      </x:c>
      <x:c r="F4" s="12" t="n">
        <x:v>4</x:v>
      </x:c>
      <x:c r="G4" s="12" t="n">
        <x:v>4</x:v>
      </x:c>
      <x:c r="H4" s="12" t="n">
        <x:v>4</x:v>
      </x:c>
      <x:c r="I4" s="12" t="n">
        <x:v>4</x:v>
      </x:c>
      <x:c r="J4" s="12" t="n">
        <x:v>1</x:v>
      </x:c>
      <x:c r="K4" s="12" t="n">
        <x:v>4</x:v>
      </x:c>
      <x:c r="L4" s="12" t="n">
        <x:v>4</x:v>
      </x:c>
      <x:c r="M4" s="12" t="n">
        <x:v>2</x:v>
      </x:c>
      <x:c r="N4" s="12" t="n">
        <x:v>3</x:v>
      </x:c>
      <x:c r="O4" s="12" t="n">
        <x:f>SUM(F4:N4)</x:f>
        <x:v>30</x:v>
      </x:c>
      <x:c r="P4" s="12" t="str">
        <x:f>IF(O4="","",IF(O4&lt;=14,"Tier 1 - Minimal",IF(O4&lt;=21,"Tier 2 - Limited",IF(O4&lt;=28,"Tier 3 - High","Tier 4 - Critical"))))</x:f>
        <x:v>Tier 4 - Critical</x:v>
      </x:c>
      <x:c r="Q4" s="12" t="str">
        <x:v>Yes - Tier 4</x:v>
      </x:c>
      <x:c r="R4" s="12" t="str">
        <x:f>IF(O4="","",IF(Q4="Yes - Tier 4","Tier 4 - Critical",IF(Q4="Yes - Tier 3",IF(O4&lt;=28,"Tier 3 - High",P4),P4)))</x:f>
        <x:v>Tier 4 - Critical</x:v>
      </x:c>
      <x:c r="S4" s="12" t="str">
        <x:v>Agent could initiate operational actions affecting critical transport services.</x:v>
      </x:c>
      <x:c r="T4" s="12" t="str">
        <x:v>Human approval gates, least privilege, network segmentation, allow-listed tools, kill switch, independent assurance.</x:v>
      </x:c>
      <x:c r="U4" s="12" t="str">
        <x:v>Not Started</x:v>
      </x:c>
      <x:c r="V4" s="12" t="n">
        <x:v>25</x:v>
      </x:c>
      <x:c r="W4" s="12" t="str">
        <x:f>IF(V4="","",IF(V4&lt;=14,"Tier 1 - Minimal",IF(V4&lt;=21,"Tier 2 - Limited",IF(V4&lt;=28,"Tier 3 - High","Tier 4 - Critical"))))</x:f>
        <x:v>Tier 3 - High</x:v>
      </x:c>
      <x:c r="X4" s="12" t="str">
        <x:v>Operations Executive</x:v>
      </x:c>
      <x:c r="Y4" s="12" t="str">
        <x:v>Escalate</x:v>
      </x:c>
      <x:c r="Z4" s="14" t="n">
        <x:v>46356</x:v>
      </x:c>
      <x:c r="AA4" s="12" t="str">
        <x:v>Tier 4 elevation due to safety/critical infrastructure.</x:v>
      </x:c>
    </x:row>
    <x:row r="5">
      <x:c r="A5" s="12" t="str">
        <x:v>AI-004</x:v>
      </x:c>
      <x:c r="B5" s="12" t="str">
        <x:v>Developer Coding Copilot</x:v>
      </x:c>
      <x:c r="C5" s="12" t="str">
        <x:v>Technology</x:v>
      </x:c>
      <x:c r="D5" s="12" t="str">
        <x:v>Engineering Platforms</x:v>
      </x:c>
      <x:c r="E5" s="12" t="str">
        <x:v>Approved</x:v>
      </x:c>
      <x:c r="F5" s="12" t="n">
        <x:v>2</x:v>
      </x:c>
      <x:c r="G5" s="12" t="n">
        <x:v>1</x:v>
      </x:c>
      <x:c r="H5" s="12" t="n">
        <x:v>1</x:v>
      </x:c>
      <x:c r="I5" s="12" t="n">
        <x:v>2</x:v>
      </x:c>
      <x:c r="J5" s="12" t="n">
        <x:v>1</x:v>
      </x:c>
      <x:c r="K5" s="12" t="n">
        <x:v>1</x:v>
      </x:c>
      <x:c r="L5" s="12" t="n">
        <x:v>1</x:v>
      </x:c>
      <x:c r="M5" s="12" t="n">
        <x:v>1</x:v>
      </x:c>
      <x:c r="N5" s="12" t="n">
        <x:v>2</x:v>
      </x:c>
      <x:c r="O5" s="12" t="n">
        <x:f>SUM(F5:N5)</x:f>
        <x:v>12</x:v>
      </x:c>
      <x:c r="P5" s="12" t="str">
        <x:f>IF(O5="","",IF(O5&lt;=14,"Tier 1 - Minimal",IF(O5&lt;=21,"Tier 2 - Limited",IF(O5&lt;=28,"Tier 3 - High","Tier 4 - Critical"))))</x:f>
        <x:v>Tier 1 - Minimal</x:v>
      </x:c>
      <x:c r="Q5" s="12" t="str">
        <x:v>No</x:v>
      </x:c>
      <x:c r="R5" s="12" t="str">
        <x:f>IF(O5="","",IF(Q5="Yes - Tier 4","Tier 4 - Critical",IF(Q5="Yes - Tier 3",IF(O5&lt;=28,"Tier 3 - High",P5),P5)))</x:f>
        <x:v>Tier 1 - Minimal</x:v>
      </x:c>
      <x:c r="S5" s="12" t="str">
        <x:v>Potential leakage of proprietary code and insecure generated code.</x:v>
      </x:c>
      <x:c r="T5" s="12" t="str">
        <x:v>Enterprise tenant, training opt-out, secret scanning, SAST, developer review, approved-use policy.</x:v>
      </x:c>
      <x:c r="U5" s="12" t="str">
        <x:v>Implemented</x:v>
      </x:c>
      <x:c r="V5" s="12" t="n">
        <x:v>10</x:v>
      </x:c>
      <x:c r="W5" s="12" t="str">
        <x:f>IF(V5="","",IF(V5&lt;=14,"Tier 1 - Minimal",IF(V5&lt;=21,"Tier 2 - Limited",IF(V5&lt;=28,"Tier 3 - High","Tier 4 - Critical"))))</x:f>
        <x:v>Tier 1 - Minimal</x:v>
      </x:c>
      <x:c r="X5" s="12" t="str">
        <x:v>Technology</x:v>
      </x:c>
      <x:c r="Y5" s="12" t="str">
        <x:v>Accept</x:v>
      </x:c>
      <x:c r="Z5" s="14" t="n">
        <x:v>46446</x:v>
      </x:c>
      <x:c r="AA5" s="12" t="str">
        <x:v>Enterprise-managed service only.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 t="n">
        <x:f>SUM(F6:N6)</x:f>
        <x:v>0</x:v>
      </x:c>
      <x:c r="P6" s="12" t="str">
        <x:f>IF(O6="","",IF(O6&lt;=14,"Tier 1 - Minimal",IF(O6&lt;=21,"Tier 2 - Limited",IF(O6&lt;=28,"Tier 3 - High","Tier 4 - Critical"))))</x:f>
      </x:c>
      <x:c r="Q6" s="12"/>
      <x:c r="R6" s="12" t="str">
        <x:f>IF(O6="","",IF(Q6="Yes - Tier 4","Tier 4 - Critical",IF(Q6="Yes - Tier 3",IF(O6&lt;=28,"Tier 3 - High",P6),P6)))</x:f>
      </x:c>
      <x:c r="S6" s="12"/>
      <x:c r="T6" s="12"/>
      <x:c r="U6" s="12"/>
      <x:c r="V6" s="12"/>
      <x:c r="W6" s="12" t="str">
        <x:f>IF(V6="","",IF(V6&lt;=14,"Tier 1 - Minimal",IF(V6&lt;=21,"Tier 2 - Limited",IF(V6&lt;=28,"Tier 3 - High","Tier 4 - Critical"))))</x:f>
      </x:c>
      <x:c r="X6" s="12"/>
      <x:c r="Y6" s="12"/>
      <x:c r="Z6" s="14"/>
      <x:c r="AA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 t="n">
        <x:f>SUM(F7:N7)</x:f>
        <x:v>0</x:v>
      </x:c>
      <x:c r="P7" s="12" t="str">
        <x:f>IF(O7="","",IF(O7&lt;=14,"Tier 1 - Minimal",IF(O7&lt;=21,"Tier 2 - Limited",IF(O7&lt;=28,"Tier 3 - High","Tier 4 - Critical"))))</x:f>
      </x:c>
      <x:c r="Q7" s="12"/>
      <x:c r="R7" s="12" t="str">
        <x:f>IF(O7="","",IF(Q7="Yes - Tier 4","Tier 4 - Critical",IF(Q7="Yes - Tier 3",IF(O7&lt;=28,"Tier 3 - High",P7),P7)))</x:f>
      </x:c>
      <x:c r="S7" s="12"/>
      <x:c r="T7" s="12"/>
      <x:c r="U7" s="12"/>
      <x:c r="V7" s="12"/>
      <x:c r="W7" s="12" t="str">
        <x:f>IF(V7="","",IF(V7&lt;=14,"Tier 1 - Minimal",IF(V7&lt;=21,"Tier 2 - Limited",IF(V7&lt;=28,"Tier 3 - High","Tier 4 - Critical"))))</x:f>
      </x:c>
      <x:c r="X7" s="12"/>
      <x:c r="Y7" s="12"/>
      <x:c r="Z7" s="14"/>
      <x:c r="AA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 t="n">
        <x:f>SUM(F8:N8)</x:f>
        <x:v>0</x:v>
      </x:c>
      <x:c r="P8" s="12" t="str">
        <x:f>IF(O8="","",IF(O8&lt;=14,"Tier 1 - Minimal",IF(O8&lt;=21,"Tier 2 - Limited",IF(O8&lt;=28,"Tier 3 - High","Tier 4 - Critical"))))</x:f>
      </x:c>
      <x:c r="Q8" s="12"/>
      <x:c r="R8" s="12" t="str">
        <x:f>IF(O8="","",IF(Q8="Yes - Tier 4","Tier 4 - Critical",IF(Q8="Yes - Tier 3",IF(O8&lt;=28,"Tier 3 - High",P8),P8)))</x:f>
      </x:c>
      <x:c r="S8" s="12"/>
      <x:c r="T8" s="12"/>
      <x:c r="U8" s="12"/>
      <x:c r="V8" s="12"/>
      <x:c r="W8" s="12" t="str">
        <x:f>IF(V8="","",IF(V8&lt;=14,"Tier 1 - Minimal",IF(V8&lt;=21,"Tier 2 - Limited",IF(V8&lt;=28,"Tier 3 - High","Tier 4 - Critical"))))</x:f>
      </x:c>
      <x:c r="X8" s="12"/>
      <x:c r="Y8" s="12"/>
      <x:c r="Z8" s="14"/>
      <x:c r="AA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 t="n">
        <x:f>SUM(F9:N9)</x:f>
        <x:v>0</x:v>
      </x:c>
      <x:c r="P9" s="12" t="str">
        <x:f>IF(O9="","",IF(O9&lt;=14,"Tier 1 - Minimal",IF(O9&lt;=21,"Tier 2 - Limited",IF(O9&lt;=28,"Tier 3 - High","Tier 4 - Critical"))))</x:f>
      </x:c>
      <x:c r="Q9" s="12"/>
      <x:c r="R9" s="12" t="str">
        <x:f>IF(O9="","",IF(Q9="Yes - Tier 4","Tier 4 - Critical",IF(Q9="Yes - Tier 3",IF(O9&lt;=28,"Tier 3 - High",P9),P9)))</x:f>
      </x:c>
      <x:c r="S9" s="12"/>
      <x:c r="T9" s="12"/>
      <x:c r="U9" s="12"/>
      <x:c r="V9" s="12"/>
      <x:c r="W9" s="12" t="str">
        <x:f>IF(V9="","",IF(V9&lt;=14,"Tier 1 - Minimal",IF(V9&lt;=21,"Tier 2 - Limited",IF(V9&lt;=28,"Tier 3 - High","Tier 4 - Critical"))))</x:f>
      </x:c>
      <x:c r="X9" s="12"/>
      <x:c r="Y9" s="12"/>
      <x:c r="Z9" s="14"/>
      <x:c r="AA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 t="n">
        <x:f>SUM(F10:N10)</x:f>
        <x:v>0</x:v>
      </x:c>
      <x:c r="P10" s="12" t="str">
        <x:f>IF(O10="","",IF(O10&lt;=14,"Tier 1 - Minimal",IF(O10&lt;=21,"Tier 2 - Limited",IF(O10&lt;=28,"Tier 3 - High","Tier 4 - Critical"))))</x:f>
      </x:c>
      <x:c r="Q10" s="12"/>
      <x:c r="R10" s="12" t="str">
        <x:f>IF(O10="","",IF(Q10="Yes - Tier 4","Tier 4 - Critical",IF(Q10="Yes - Tier 3",IF(O10&lt;=28,"Tier 3 - High",P10),P10)))</x:f>
      </x:c>
      <x:c r="S10" s="12"/>
      <x:c r="T10" s="12"/>
      <x:c r="U10" s="12"/>
      <x:c r="V10" s="12"/>
      <x:c r="W10" s="12" t="str">
        <x:f>IF(V10="","",IF(V10&lt;=14,"Tier 1 - Minimal",IF(V10&lt;=21,"Tier 2 - Limited",IF(V10&lt;=28,"Tier 3 - High","Tier 4 - Critical"))))</x:f>
      </x:c>
      <x:c r="X10" s="12"/>
      <x:c r="Y10" s="12"/>
      <x:c r="Z10" s="14"/>
      <x:c r="AA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 t="n">
        <x:f>SUM(F11:N11)</x:f>
        <x:v>0</x:v>
      </x:c>
      <x:c r="P11" s="12" t="str">
        <x:f>IF(O11="","",IF(O11&lt;=14,"Tier 1 - Minimal",IF(O11&lt;=21,"Tier 2 - Limited",IF(O11&lt;=28,"Tier 3 - High","Tier 4 - Critical"))))</x:f>
      </x:c>
      <x:c r="Q11" s="12"/>
      <x:c r="R11" s="12" t="str">
        <x:f>IF(O11="","",IF(Q11="Yes - Tier 4","Tier 4 - Critical",IF(Q11="Yes - Tier 3",IF(O11&lt;=28,"Tier 3 - High",P11),P11)))</x:f>
      </x:c>
      <x:c r="S11" s="12"/>
      <x:c r="T11" s="12"/>
      <x:c r="U11" s="12"/>
      <x:c r="V11" s="12"/>
      <x:c r="W11" s="12" t="str">
        <x:f>IF(V11="","",IF(V11&lt;=14,"Tier 1 - Minimal",IF(V11&lt;=21,"Tier 2 - Limited",IF(V11&lt;=28,"Tier 3 - High","Tier 4 - Critical"))))</x:f>
      </x:c>
      <x:c r="X11" s="12"/>
      <x:c r="Y11" s="12"/>
      <x:c r="Z11" s="14"/>
      <x:c r="AA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 t="n">
        <x:f>SUM(F12:N12)</x:f>
        <x:v>0</x:v>
      </x:c>
      <x:c r="P12" s="12" t="str">
        <x:f>IF(O12="","",IF(O12&lt;=14,"Tier 1 - Minimal",IF(O12&lt;=21,"Tier 2 - Limited",IF(O12&lt;=28,"Tier 3 - High","Tier 4 - Critical"))))</x:f>
      </x:c>
      <x:c r="Q12" s="12"/>
      <x:c r="R12" s="12" t="str">
        <x:f>IF(O12="","",IF(Q12="Yes - Tier 4","Tier 4 - Critical",IF(Q12="Yes - Tier 3",IF(O12&lt;=28,"Tier 3 - High",P12),P12)))</x:f>
      </x:c>
      <x:c r="S12" s="12"/>
      <x:c r="T12" s="12"/>
      <x:c r="U12" s="12"/>
      <x:c r="V12" s="12"/>
      <x:c r="W12" s="12" t="str">
        <x:f>IF(V12="","",IF(V12&lt;=14,"Tier 1 - Minimal",IF(V12&lt;=21,"Tier 2 - Limited",IF(V12&lt;=28,"Tier 3 - High","Tier 4 - Critical"))))</x:f>
      </x:c>
      <x:c r="X12" s="12"/>
      <x:c r="Y12" s="12"/>
      <x:c r="Z12" s="14"/>
      <x:c r="AA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 t="n">
        <x:f>SUM(F13:N13)</x:f>
        <x:v>0</x:v>
      </x:c>
      <x:c r="P13" s="12" t="str">
        <x:f>IF(O13="","",IF(O13&lt;=14,"Tier 1 - Minimal",IF(O13&lt;=21,"Tier 2 - Limited",IF(O13&lt;=28,"Tier 3 - High","Tier 4 - Critical"))))</x:f>
      </x:c>
      <x:c r="Q13" s="12"/>
      <x:c r="R13" s="12" t="str">
        <x:f>IF(O13="","",IF(Q13="Yes - Tier 4","Tier 4 - Critical",IF(Q13="Yes - Tier 3",IF(O13&lt;=28,"Tier 3 - High",P13),P13)))</x:f>
      </x:c>
      <x:c r="S13" s="12"/>
      <x:c r="T13" s="12"/>
      <x:c r="U13" s="12"/>
      <x:c r="V13" s="12"/>
      <x:c r="W13" s="12" t="str">
        <x:f>IF(V13="","",IF(V13&lt;=14,"Tier 1 - Minimal",IF(V13&lt;=21,"Tier 2 - Limited",IF(V13&lt;=28,"Tier 3 - High","Tier 4 - Critical"))))</x:f>
      </x:c>
      <x:c r="X13" s="12"/>
      <x:c r="Y13" s="12"/>
      <x:c r="Z13" s="14"/>
      <x:c r="AA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 t="n">
        <x:f>SUM(F14:N14)</x:f>
        <x:v>0</x:v>
      </x:c>
      <x:c r="P14" s="12" t="str">
        <x:f>IF(O14="","",IF(O14&lt;=14,"Tier 1 - Minimal",IF(O14&lt;=21,"Tier 2 - Limited",IF(O14&lt;=28,"Tier 3 - High","Tier 4 - Critical"))))</x:f>
      </x:c>
      <x:c r="Q14" s="12"/>
      <x:c r="R14" s="12" t="str">
        <x:f>IF(O14="","",IF(Q14="Yes - Tier 4","Tier 4 - Critical",IF(Q14="Yes - Tier 3",IF(O14&lt;=28,"Tier 3 - High",P14),P14)))</x:f>
      </x:c>
      <x:c r="S14" s="12"/>
      <x:c r="T14" s="12"/>
      <x:c r="U14" s="12"/>
      <x:c r="V14" s="12"/>
      <x:c r="W14" s="12" t="str">
        <x:f>IF(V14="","",IF(V14&lt;=14,"Tier 1 - Minimal",IF(V14&lt;=21,"Tier 2 - Limited",IF(V14&lt;=28,"Tier 3 - High","Tier 4 - Critical"))))</x:f>
      </x:c>
      <x:c r="X14" s="12"/>
      <x:c r="Y14" s="12"/>
      <x:c r="Z14" s="14"/>
      <x:c r="AA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 t="n">
        <x:f>SUM(F15:N15)</x:f>
        <x:v>0</x:v>
      </x:c>
      <x:c r="P15" s="12" t="str">
        <x:f>IF(O15="","",IF(O15&lt;=14,"Tier 1 - Minimal",IF(O15&lt;=21,"Tier 2 - Limited",IF(O15&lt;=28,"Tier 3 - High","Tier 4 - Critical"))))</x:f>
      </x:c>
      <x:c r="Q15" s="12"/>
      <x:c r="R15" s="12" t="str">
        <x:f>IF(O15="","",IF(Q15="Yes - Tier 4","Tier 4 - Critical",IF(Q15="Yes - Tier 3",IF(O15&lt;=28,"Tier 3 - High",P15),P15)))</x:f>
      </x:c>
      <x:c r="S15" s="12"/>
      <x:c r="T15" s="12"/>
      <x:c r="U15" s="12"/>
      <x:c r="V15" s="12"/>
      <x:c r="W15" s="12" t="str">
        <x:f>IF(V15="","",IF(V15&lt;=14,"Tier 1 - Minimal",IF(V15&lt;=21,"Tier 2 - Limited",IF(V15&lt;=28,"Tier 3 - High","Tier 4 - Critical"))))</x:f>
      </x:c>
      <x:c r="X15" s="12"/>
      <x:c r="Y15" s="12"/>
      <x:c r="Z15" s="14"/>
      <x:c r="AA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 t="n">
        <x:f>SUM(F16:N16)</x:f>
        <x:v>0</x:v>
      </x:c>
      <x:c r="P16" s="12" t="str">
        <x:f>IF(O16="","",IF(O16&lt;=14,"Tier 1 - Minimal",IF(O16&lt;=21,"Tier 2 - Limited",IF(O16&lt;=28,"Tier 3 - High","Tier 4 - Critical"))))</x:f>
      </x:c>
      <x:c r="Q16" s="12"/>
      <x:c r="R16" s="12" t="str">
        <x:f>IF(O16="","",IF(Q16="Yes - Tier 4","Tier 4 - Critical",IF(Q16="Yes - Tier 3",IF(O16&lt;=28,"Tier 3 - High",P16),P16)))</x:f>
      </x:c>
      <x:c r="S16" s="12"/>
      <x:c r="T16" s="12"/>
      <x:c r="U16" s="12"/>
      <x:c r="V16" s="12"/>
      <x:c r="W16" s="12" t="str">
        <x:f>IF(V16="","",IF(V16&lt;=14,"Tier 1 - Minimal",IF(V16&lt;=21,"Tier 2 - Limited",IF(V16&lt;=28,"Tier 3 - High","Tier 4 - Critical"))))</x:f>
      </x:c>
      <x:c r="X16" s="12"/>
      <x:c r="Y16" s="12"/>
      <x:c r="Z16" s="14"/>
      <x:c r="AA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 t="n">
        <x:f>SUM(F17:N17)</x:f>
        <x:v>0</x:v>
      </x:c>
      <x:c r="P17" s="12" t="str">
        <x:f>IF(O17="","",IF(O17&lt;=14,"Tier 1 - Minimal",IF(O17&lt;=21,"Tier 2 - Limited",IF(O17&lt;=28,"Tier 3 - High","Tier 4 - Critical"))))</x:f>
      </x:c>
      <x:c r="Q17" s="12"/>
      <x:c r="R17" s="12" t="str">
        <x:f>IF(O17="","",IF(Q17="Yes - Tier 4","Tier 4 - Critical",IF(Q17="Yes - Tier 3",IF(O17&lt;=28,"Tier 3 - High",P17),P17)))</x:f>
      </x:c>
      <x:c r="S17" s="12"/>
      <x:c r="T17" s="12"/>
      <x:c r="U17" s="12"/>
      <x:c r="V17" s="12"/>
      <x:c r="W17" s="12" t="str">
        <x:f>IF(V17="","",IF(V17&lt;=14,"Tier 1 - Minimal",IF(V17&lt;=21,"Tier 2 - Limited",IF(V17&lt;=28,"Tier 3 - High","Tier 4 - Critical"))))</x:f>
      </x:c>
      <x:c r="X17" s="12"/>
      <x:c r="Y17" s="12"/>
      <x:c r="Z17" s="14"/>
      <x:c r="AA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 t="n">
        <x:f>SUM(F18:N18)</x:f>
        <x:v>0</x:v>
      </x:c>
      <x:c r="P18" s="12" t="str">
        <x:f>IF(O18="","",IF(O18&lt;=14,"Tier 1 - Minimal",IF(O18&lt;=21,"Tier 2 - Limited",IF(O18&lt;=28,"Tier 3 - High","Tier 4 - Critical"))))</x:f>
      </x:c>
      <x:c r="Q18" s="12"/>
      <x:c r="R18" s="12" t="str">
        <x:f>IF(O18="","",IF(Q18="Yes - Tier 4","Tier 4 - Critical",IF(Q18="Yes - Tier 3",IF(O18&lt;=28,"Tier 3 - High",P18),P18)))</x:f>
      </x:c>
      <x:c r="S18" s="12"/>
      <x:c r="T18" s="12"/>
      <x:c r="U18" s="12"/>
      <x:c r="V18" s="12"/>
      <x:c r="W18" s="12" t="str">
        <x:f>IF(V18="","",IF(V18&lt;=14,"Tier 1 - Minimal",IF(V18&lt;=21,"Tier 2 - Limited",IF(V18&lt;=28,"Tier 3 - High","Tier 4 - Critical"))))</x:f>
      </x:c>
      <x:c r="X18" s="12"/>
      <x:c r="Y18" s="12"/>
      <x:c r="Z18" s="14"/>
      <x:c r="AA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 t="n">
        <x:f>SUM(F19:N19)</x:f>
        <x:v>0</x:v>
      </x:c>
      <x:c r="P19" s="12" t="str">
        <x:f>IF(O19="","",IF(O19&lt;=14,"Tier 1 - Minimal",IF(O19&lt;=21,"Tier 2 - Limited",IF(O19&lt;=28,"Tier 3 - High","Tier 4 - Critical"))))</x:f>
      </x:c>
      <x:c r="Q19" s="12"/>
      <x:c r="R19" s="12" t="str">
        <x:f>IF(O19="","",IF(Q19="Yes - Tier 4","Tier 4 - Critical",IF(Q19="Yes - Tier 3",IF(O19&lt;=28,"Tier 3 - High",P19),P19)))</x:f>
      </x:c>
      <x:c r="S19" s="12"/>
      <x:c r="T19" s="12"/>
      <x:c r="U19" s="12"/>
      <x:c r="V19" s="12"/>
      <x:c r="W19" s="12" t="str">
        <x:f>IF(V19="","",IF(V19&lt;=14,"Tier 1 - Minimal",IF(V19&lt;=21,"Tier 2 - Limited",IF(V19&lt;=28,"Tier 3 - High","Tier 4 - Critical"))))</x:f>
      </x:c>
      <x:c r="X19" s="12"/>
      <x:c r="Y19" s="12"/>
      <x:c r="Z19" s="14"/>
      <x:c r="AA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 t="n">
        <x:f>SUM(F20:N20)</x:f>
        <x:v>0</x:v>
      </x:c>
      <x:c r="P20" s="12" t="str">
        <x:f>IF(O20="","",IF(O20&lt;=14,"Tier 1 - Minimal",IF(O20&lt;=21,"Tier 2 - Limited",IF(O20&lt;=28,"Tier 3 - High","Tier 4 - Critical"))))</x:f>
      </x:c>
      <x:c r="Q20" s="12"/>
      <x:c r="R20" s="12" t="str">
        <x:f>IF(O20="","",IF(Q20="Yes - Tier 4","Tier 4 - Critical",IF(Q20="Yes - Tier 3",IF(O20&lt;=28,"Tier 3 - High",P20),P20)))</x:f>
      </x:c>
      <x:c r="S20" s="12"/>
      <x:c r="T20" s="12"/>
      <x:c r="U20" s="12"/>
      <x:c r="V20" s="12"/>
      <x:c r="W20" s="12" t="str">
        <x:f>IF(V20="","",IF(V20&lt;=14,"Tier 1 - Minimal",IF(V20&lt;=21,"Tier 2 - Limited",IF(V20&lt;=28,"Tier 3 - High","Tier 4 - Critical"))))</x:f>
      </x:c>
      <x:c r="X20" s="12"/>
      <x:c r="Y20" s="12"/>
      <x:c r="Z20" s="14"/>
      <x:c r="AA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 t="n">
        <x:f>SUM(F21:N21)</x:f>
        <x:v>0</x:v>
      </x:c>
      <x:c r="P21" s="12" t="str">
        <x:f>IF(O21="","",IF(O21&lt;=14,"Tier 1 - Minimal",IF(O21&lt;=21,"Tier 2 - Limited",IF(O21&lt;=28,"Tier 3 - High","Tier 4 - Critical"))))</x:f>
      </x:c>
      <x:c r="Q21" s="12"/>
      <x:c r="R21" s="12" t="str">
        <x:f>IF(O21="","",IF(Q21="Yes - Tier 4","Tier 4 - Critical",IF(Q21="Yes - Tier 3",IF(O21&lt;=28,"Tier 3 - High",P21),P21)))</x:f>
      </x:c>
      <x:c r="S21" s="12"/>
      <x:c r="T21" s="12"/>
      <x:c r="U21" s="12"/>
      <x:c r="V21" s="12"/>
      <x:c r="W21" s="12" t="str">
        <x:f>IF(V21="","",IF(V21&lt;=14,"Tier 1 - Minimal",IF(V21&lt;=21,"Tier 2 - Limited",IF(V21&lt;=28,"Tier 3 - High","Tier 4 - Critical"))))</x:f>
      </x:c>
      <x:c r="X21" s="12"/>
      <x:c r="Y21" s="12"/>
      <x:c r="Z21" s="14"/>
      <x:c r="AA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 t="n">
        <x:f>SUM(F22:N22)</x:f>
        <x:v>0</x:v>
      </x:c>
      <x:c r="P22" s="12" t="str">
        <x:f>IF(O22="","",IF(O22&lt;=14,"Tier 1 - Minimal",IF(O22&lt;=21,"Tier 2 - Limited",IF(O22&lt;=28,"Tier 3 - High","Tier 4 - Critical"))))</x:f>
      </x:c>
      <x:c r="Q22" s="12"/>
      <x:c r="R22" s="12" t="str">
        <x:f>IF(O22="","",IF(Q22="Yes - Tier 4","Tier 4 - Critical",IF(Q22="Yes - Tier 3",IF(O22&lt;=28,"Tier 3 - High",P22),P22)))</x:f>
      </x:c>
      <x:c r="S22" s="12"/>
      <x:c r="T22" s="12"/>
      <x:c r="U22" s="12"/>
      <x:c r="V22" s="12"/>
      <x:c r="W22" s="12" t="str">
        <x:f>IF(V22="","",IF(V22&lt;=14,"Tier 1 - Minimal",IF(V22&lt;=21,"Tier 2 - Limited",IF(V22&lt;=28,"Tier 3 - High","Tier 4 - Critical"))))</x:f>
      </x:c>
      <x:c r="X22" s="12"/>
      <x:c r="Y22" s="12"/>
      <x:c r="Z22" s="14"/>
      <x:c r="AA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 t="n">
        <x:f>SUM(F23:N23)</x:f>
        <x:v>0</x:v>
      </x:c>
      <x:c r="P23" s="12" t="str">
        <x:f>IF(O23="","",IF(O23&lt;=14,"Tier 1 - Minimal",IF(O23&lt;=21,"Tier 2 - Limited",IF(O23&lt;=28,"Tier 3 - High","Tier 4 - Critical"))))</x:f>
      </x:c>
      <x:c r="Q23" s="12"/>
      <x:c r="R23" s="12" t="str">
        <x:f>IF(O23="","",IF(Q23="Yes - Tier 4","Tier 4 - Critical",IF(Q23="Yes - Tier 3",IF(O23&lt;=28,"Tier 3 - High",P23),P23)))</x:f>
      </x:c>
      <x:c r="S23" s="12"/>
      <x:c r="T23" s="12"/>
      <x:c r="U23" s="12"/>
      <x:c r="V23" s="12"/>
      <x:c r="W23" s="12" t="str">
        <x:f>IF(V23="","",IF(V23&lt;=14,"Tier 1 - Minimal",IF(V23&lt;=21,"Tier 2 - Limited",IF(V23&lt;=28,"Tier 3 - High","Tier 4 - Critical"))))</x:f>
      </x:c>
      <x:c r="X23" s="12"/>
      <x:c r="Y23" s="12"/>
      <x:c r="Z23" s="14"/>
      <x:c r="AA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 t="n">
        <x:f>SUM(F24:N24)</x:f>
        <x:v>0</x:v>
      </x:c>
      <x:c r="P24" s="12" t="str">
        <x:f>IF(O24="","",IF(O24&lt;=14,"Tier 1 - Minimal",IF(O24&lt;=21,"Tier 2 - Limited",IF(O24&lt;=28,"Tier 3 - High","Tier 4 - Critical"))))</x:f>
      </x:c>
      <x:c r="Q24" s="12"/>
      <x:c r="R24" s="12" t="str">
        <x:f>IF(O24="","",IF(Q24="Yes - Tier 4","Tier 4 - Critical",IF(Q24="Yes - Tier 3",IF(O24&lt;=28,"Tier 3 - High",P24),P24)))</x:f>
      </x:c>
      <x:c r="S24" s="12"/>
      <x:c r="T24" s="12"/>
      <x:c r="U24" s="12"/>
      <x:c r="V24" s="12"/>
      <x:c r="W24" s="12" t="str">
        <x:f>IF(V24="","",IF(V24&lt;=14,"Tier 1 - Minimal",IF(V24&lt;=21,"Tier 2 - Limited",IF(V24&lt;=28,"Tier 3 - High","Tier 4 - Critical"))))</x:f>
      </x:c>
      <x:c r="X24" s="12"/>
      <x:c r="Y24" s="12"/>
      <x:c r="Z24" s="14"/>
      <x:c r="AA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 t="n">
        <x:f>SUM(F25:N25)</x:f>
        <x:v>0</x:v>
      </x:c>
      <x:c r="P25" s="12" t="str">
        <x:f>IF(O25="","",IF(O25&lt;=14,"Tier 1 - Minimal",IF(O25&lt;=21,"Tier 2 - Limited",IF(O25&lt;=28,"Tier 3 - High","Tier 4 - Critical"))))</x:f>
      </x:c>
      <x:c r="Q25" s="12"/>
      <x:c r="R25" s="12" t="str">
        <x:f>IF(O25="","",IF(Q25="Yes - Tier 4","Tier 4 - Critical",IF(Q25="Yes - Tier 3",IF(O25&lt;=28,"Tier 3 - High",P25),P25)))</x:f>
      </x:c>
      <x:c r="S25" s="12"/>
      <x:c r="T25" s="12"/>
      <x:c r="U25" s="12"/>
      <x:c r="V25" s="12"/>
      <x:c r="W25" s="12" t="str">
        <x:f>IF(V25="","",IF(V25&lt;=14,"Tier 1 - Minimal",IF(V25&lt;=21,"Tier 2 - Limited",IF(V25&lt;=28,"Tier 3 - High","Tier 4 - Critical"))))</x:f>
      </x:c>
      <x:c r="X25" s="12"/>
      <x:c r="Y25" s="12"/>
      <x:c r="Z25" s="14"/>
      <x:c r="AA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 t="n">
        <x:f>SUM(F26:N26)</x:f>
        <x:v>0</x:v>
      </x:c>
      <x:c r="P26" s="12" t="str">
        <x:f>IF(O26="","",IF(O26&lt;=14,"Tier 1 - Minimal",IF(O26&lt;=21,"Tier 2 - Limited",IF(O26&lt;=28,"Tier 3 - High","Tier 4 - Critical"))))</x:f>
      </x:c>
      <x:c r="Q26" s="12"/>
      <x:c r="R26" s="12" t="str">
        <x:f>IF(O26="","",IF(Q26="Yes - Tier 4","Tier 4 - Critical",IF(Q26="Yes - Tier 3",IF(O26&lt;=28,"Tier 3 - High",P26),P26)))</x:f>
      </x:c>
      <x:c r="S26" s="12"/>
      <x:c r="T26" s="12"/>
      <x:c r="U26" s="12"/>
      <x:c r="V26" s="12"/>
      <x:c r="W26" s="12" t="str">
        <x:f>IF(V26="","",IF(V26&lt;=14,"Tier 1 - Minimal",IF(V26&lt;=21,"Tier 2 - Limited",IF(V26&lt;=28,"Tier 3 - High","Tier 4 - Critical"))))</x:f>
      </x:c>
      <x:c r="X26" s="12"/>
      <x:c r="Y26" s="12"/>
      <x:c r="Z26" s="14"/>
      <x:c r="AA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 t="n">
        <x:f>SUM(F27:N27)</x:f>
        <x:v>0</x:v>
      </x:c>
      <x:c r="P27" s="12" t="str">
        <x:f>IF(O27="","",IF(O27&lt;=14,"Tier 1 - Minimal",IF(O27&lt;=21,"Tier 2 - Limited",IF(O27&lt;=28,"Tier 3 - High","Tier 4 - Critical"))))</x:f>
      </x:c>
      <x:c r="Q27" s="12"/>
      <x:c r="R27" s="12" t="str">
        <x:f>IF(O27="","",IF(Q27="Yes - Tier 4","Tier 4 - Critical",IF(Q27="Yes - Tier 3",IF(O27&lt;=28,"Tier 3 - High",P27),P27)))</x:f>
      </x:c>
      <x:c r="S27" s="12"/>
      <x:c r="T27" s="12"/>
      <x:c r="U27" s="12"/>
      <x:c r="V27" s="12"/>
      <x:c r="W27" s="12" t="str">
        <x:f>IF(V27="","",IF(V27&lt;=14,"Tier 1 - Minimal",IF(V27&lt;=21,"Tier 2 - Limited",IF(V27&lt;=28,"Tier 3 - High","Tier 4 - Critical"))))</x:f>
      </x:c>
      <x:c r="X27" s="12"/>
      <x:c r="Y27" s="12"/>
      <x:c r="Z27" s="14"/>
      <x:c r="AA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 t="n">
        <x:f>SUM(F28:N28)</x:f>
        <x:v>0</x:v>
      </x:c>
      <x:c r="P28" s="12" t="str">
        <x:f>IF(O28="","",IF(O28&lt;=14,"Tier 1 - Minimal",IF(O28&lt;=21,"Tier 2 - Limited",IF(O28&lt;=28,"Tier 3 - High","Tier 4 - Critical"))))</x:f>
      </x:c>
      <x:c r="Q28" s="12"/>
      <x:c r="R28" s="12" t="str">
        <x:f>IF(O28="","",IF(Q28="Yes - Tier 4","Tier 4 - Critical",IF(Q28="Yes - Tier 3",IF(O28&lt;=28,"Tier 3 - High",P28),P28)))</x:f>
      </x:c>
      <x:c r="S28" s="12"/>
      <x:c r="T28" s="12"/>
      <x:c r="U28" s="12"/>
      <x:c r="V28" s="12"/>
      <x:c r="W28" s="12" t="str">
        <x:f>IF(V28="","",IF(V28&lt;=14,"Tier 1 - Minimal",IF(V28&lt;=21,"Tier 2 - Limited",IF(V28&lt;=28,"Tier 3 - High","Tier 4 - Critical"))))</x:f>
      </x:c>
      <x:c r="X28" s="12"/>
      <x:c r="Y28" s="12"/>
      <x:c r="Z28" s="14"/>
      <x:c r="AA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 t="n">
        <x:f>SUM(F29:N29)</x:f>
        <x:v>0</x:v>
      </x:c>
      <x:c r="P29" s="12" t="str">
        <x:f>IF(O29="","",IF(O29&lt;=14,"Tier 1 - Minimal",IF(O29&lt;=21,"Tier 2 - Limited",IF(O29&lt;=28,"Tier 3 - High","Tier 4 - Critical"))))</x:f>
      </x:c>
      <x:c r="Q29" s="12"/>
      <x:c r="R29" s="12" t="str">
        <x:f>IF(O29="","",IF(Q29="Yes - Tier 4","Tier 4 - Critical",IF(Q29="Yes - Tier 3",IF(O29&lt;=28,"Tier 3 - High",P29),P29)))</x:f>
      </x:c>
      <x:c r="S29" s="12"/>
      <x:c r="T29" s="12"/>
      <x:c r="U29" s="12"/>
      <x:c r="V29" s="12"/>
      <x:c r="W29" s="12" t="str">
        <x:f>IF(V29="","",IF(V29&lt;=14,"Tier 1 - Minimal",IF(V29&lt;=21,"Tier 2 - Limited",IF(V29&lt;=28,"Tier 3 - High","Tier 4 - Critical"))))</x:f>
      </x:c>
      <x:c r="X29" s="12"/>
      <x:c r="Y29" s="12"/>
      <x:c r="Z29" s="14"/>
      <x:c r="AA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 t="n">
        <x:f>SUM(F30:N30)</x:f>
        <x:v>0</x:v>
      </x:c>
      <x:c r="P30" s="12" t="str">
        <x:f>IF(O30="","",IF(O30&lt;=14,"Tier 1 - Minimal",IF(O30&lt;=21,"Tier 2 - Limited",IF(O30&lt;=28,"Tier 3 - High","Tier 4 - Critical"))))</x:f>
      </x:c>
      <x:c r="Q30" s="12"/>
      <x:c r="R30" s="12" t="str">
        <x:f>IF(O30="","",IF(Q30="Yes - Tier 4","Tier 4 - Critical",IF(Q30="Yes - Tier 3",IF(O30&lt;=28,"Tier 3 - High",P30),P30)))</x:f>
      </x:c>
      <x:c r="S30" s="12"/>
      <x:c r="T30" s="12"/>
      <x:c r="U30" s="12"/>
      <x:c r="V30" s="12"/>
      <x:c r="W30" s="12" t="str">
        <x:f>IF(V30="","",IF(V30&lt;=14,"Tier 1 - Minimal",IF(V30&lt;=21,"Tier 2 - Limited",IF(V30&lt;=28,"Tier 3 - High","Tier 4 - Critical"))))</x:f>
      </x:c>
      <x:c r="X30" s="12"/>
      <x:c r="Y30" s="12"/>
      <x:c r="Z30" s="14"/>
      <x:c r="AA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 t="n">
        <x:f>SUM(F31:N31)</x:f>
        <x:v>0</x:v>
      </x:c>
      <x:c r="P31" s="12" t="str">
        <x:f>IF(O31="","",IF(O31&lt;=14,"Tier 1 - Minimal",IF(O31&lt;=21,"Tier 2 - Limited",IF(O31&lt;=28,"Tier 3 - High","Tier 4 - Critical"))))</x:f>
      </x:c>
      <x:c r="Q31" s="12"/>
      <x:c r="R31" s="12" t="str">
        <x:f>IF(O31="","",IF(Q31="Yes - Tier 4","Tier 4 - Critical",IF(Q31="Yes - Tier 3",IF(O31&lt;=28,"Tier 3 - High",P31),P31)))</x:f>
      </x:c>
      <x:c r="S31" s="12"/>
      <x:c r="T31" s="12"/>
      <x:c r="U31" s="12"/>
      <x:c r="V31" s="12"/>
      <x:c r="W31" s="12" t="str">
        <x:f>IF(V31="","",IF(V31&lt;=14,"Tier 1 - Minimal",IF(V31&lt;=21,"Tier 2 - Limited",IF(V31&lt;=28,"Tier 3 - High","Tier 4 - Critical"))))</x:f>
      </x:c>
      <x:c r="X31" s="12"/>
      <x:c r="Y31" s="12"/>
      <x:c r="Z31" s="14"/>
      <x:c r="AA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 t="n">
        <x:f>SUM(F32:N32)</x:f>
        <x:v>0</x:v>
      </x:c>
      <x:c r="P32" s="12" t="str">
        <x:f>IF(O32="","",IF(O32&lt;=14,"Tier 1 - Minimal",IF(O32&lt;=21,"Tier 2 - Limited",IF(O32&lt;=28,"Tier 3 - High","Tier 4 - Critical"))))</x:f>
      </x:c>
      <x:c r="Q32" s="12"/>
      <x:c r="R32" s="12" t="str">
        <x:f>IF(O32="","",IF(Q32="Yes - Tier 4","Tier 4 - Critical",IF(Q32="Yes - Tier 3",IF(O32&lt;=28,"Tier 3 - High",P32),P32)))</x:f>
      </x:c>
      <x:c r="S32" s="12"/>
      <x:c r="T32" s="12"/>
      <x:c r="U32" s="12"/>
      <x:c r="V32" s="12"/>
      <x:c r="W32" s="12" t="str">
        <x:f>IF(V32="","",IF(V32&lt;=14,"Tier 1 - Minimal",IF(V32&lt;=21,"Tier 2 - Limited",IF(V32&lt;=28,"Tier 3 - High","Tier 4 - Critical"))))</x:f>
      </x:c>
      <x:c r="X32" s="12"/>
      <x:c r="Y32" s="12"/>
      <x:c r="Z32" s="14"/>
      <x:c r="AA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 t="n">
        <x:f>SUM(F33:N33)</x:f>
        <x:v>0</x:v>
      </x:c>
      <x:c r="P33" s="12" t="str">
        <x:f>IF(O33="","",IF(O33&lt;=14,"Tier 1 - Minimal",IF(O33&lt;=21,"Tier 2 - Limited",IF(O33&lt;=28,"Tier 3 - High","Tier 4 - Critical"))))</x:f>
      </x:c>
      <x:c r="Q33" s="12"/>
      <x:c r="R33" s="12" t="str">
        <x:f>IF(O33="","",IF(Q33="Yes - Tier 4","Tier 4 - Critical",IF(Q33="Yes - Tier 3",IF(O33&lt;=28,"Tier 3 - High",P33),P33)))</x:f>
      </x:c>
      <x:c r="S33" s="12"/>
      <x:c r="T33" s="12"/>
      <x:c r="U33" s="12"/>
      <x:c r="V33" s="12"/>
      <x:c r="W33" s="12" t="str">
        <x:f>IF(V33="","",IF(V33&lt;=14,"Tier 1 - Minimal",IF(V33&lt;=21,"Tier 2 - Limited",IF(V33&lt;=28,"Tier 3 - High","Tier 4 - Critical"))))</x:f>
      </x:c>
      <x:c r="X33" s="12"/>
      <x:c r="Y33" s="12"/>
      <x:c r="Z33" s="14"/>
      <x:c r="AA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 t="n">
        <x:f>SUM(F34:N34)</x:f>
        <x:v>0</x:v>
      </x:c>
      <x:c r="P34" s="12" t="str">
        <x:f>IF(O34="","",IF(O34&lt;=14,"Tier 1 - Minimal",IF(O34&lt;=21,"Tier 2 - Limited",IF(O34&lt;=28,"Tier 3 - High","Tier 4 - Critical"))))</x:f>
      </x:c>
      <x:c r="Q34" s="12"/>
      <x:c r="R34" s="12" t="str">
        <x:f>IF(O34="","",IF(Q34="Yes - Tier 4","Tier 4 - Critical",IF(Q34="Yes - Tier 3",IF(O34&lt;=28,"Tier 3 - High",P34),P34)))</x:f>
      </x:c>
      <x:c r="S34" s="12"/>
      <x:c r="T34" s="12"/>
      <x:c r="U34" s="12"/>
      <x:c r="V34" s="12"/>
      <x:c r="W34" s="12" t="str">
        <x:f>IF(V34="","",IF(V34&lt;=14,"Tier 1 - Minimal",IF(V34&lt;=21,"Tier 2 - Limited",IF(V34&lt;=28,"Tier 3 - High","Tier 4 - Critical"))))</x:f>
      </x:c>
      <x:c r="X34" s="12"/>
      <x:c r="Y34" s="12"/>
      <x:c r="Z34" s="14"/>
      <x:c r="AA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 t="n">
        <x:f>SUM(F35:N35)</x:f>
        <x:v>0</x:v>
      </x:c>
      <x:c r="P35" s="12" t="str">
        <x:f>IF(O35="","",IF(O35&lt;=14,"Tier 1 - Minimal",IF(O35&lt;=21,"Tier 2 - Limited",IF(O35&lt;=28,"Tier 3 - High","Tier 4 - Critical"))))</x:f>
      </x:c>
      <x:c r="Q35" s="12"/>
      <x:c r="R35" s="12" t="str">
        <x:f>IF(O35="","",IF(Q35="Yes - Tier 4","Tier 4 - Critical",IF(Q35="Yes - Tier 3",IF(O35&lt;=28,"Tier 3 - High",P35),P35)))</x:f>
      </x:c>
      <x:c r="S35" s="12"/>
      <x:c r="T35" s="12"/>
      <x:c r="U35" s="12"/>
      <x:c r="V35" s="12"/>
      <x:c r="W35" s="12" t="str">
        <x:f>IF(V35="","",IF(V35&lt;=14,"Tier 1 - Minimal",IF(V35&lt;=21,"Tier 2 - Limited",IF(V35&lt;=28,"Tier 3 - High","Tier 4 - Critical"))))</x:f>
      </x:c>
      <x:c r="X35" s="12"/>
      <x:c r="Y35" s="12"/>
      <x:c r="Z35" s="14"/>
      <x:c r="AA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 t="n">
        <x:f>SUM(F36:N36)</x:f>
        <x:v>0</x:v>
      </x:c>
      <x:c r="P36" s="12" t="str">
        <x:f>IF(O36="","",IF(O36&lt;=14,"Tier 1 - Minimal",IF(O36&lt;=21,"Tier 2 - Limited",IF(O36&lt;=28,"Tier 3 - High","Tier 4 - Critical"))))</x:f>
      </x:c>
      <x:c r="Q36" s="12"/>
      <x:c r="R36" s="12" t="str">
        <x:f>IF(O36="","",IF(Q36="Yes - Tier 4","Tier 4 - Critical",IF(Q36="Yes - Tier 3",IF(O36&lt;=28,"Tier 3 - High",P36),P36)))</x:f>
      </x:c>
      <x:c r="S36" s="12"/>
      <x:c r="T36" s="12"/>
      <x:c r="U36" s="12"/>
      <x:c r="V36" s="12"/>
      <x:c r="W36" s="12" t="str">
        <x:f>IF(V36="","",IF(V36&lt;=14,"Tier 1 - Minimal",IF(V36&lt;=21,"Tier 2 - Limited",IF(V36&lt;=28,"Tier 3 - High","Tier 4 - Critical"))))</x:f>
      </x:c>
      <x:c r="X36" s="12"/>
      <x:c r="Y36" s="12"/>
      <x:c r="Z36" s="14"/>
      <x:c r="AA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 t="n">
        <x:f>SUM(F37:N37)</x:f>
        <x:v>0</x:v>
      </x:c>
      <x:c r="P37" s="12" t="str">
        <x:f>IF(O37="","",IF(O37&lt;=14,"Tier 1 - Minimal",IF(O37&lt;=21,"Tier 2 - Limited",IF(O37&lt;=28,"Tier 3 - High","Tier 4 - Critical"))))</x:f>
      </x:c>
      <x:c r="Q37" s="12"/>
      <x:c r="R37" s="12" t="str">
        <x:f>IF(O37="","",IF(Q37="Yes - Tier 4","Tier 4 - Critical",IF(Q37="Yes - Tier 3",IF(O37&lt;=28,"Tier 3 - High",P37),P37)))</x:f>
      </x:c>
      <x:c r="S37" s="12"/>
      <x:c r="T37" s="12"/>
      <x:c r="U37" s="12"/>
      <x:c r="V37" s="12"/>
      <x:c r="W37" s="12" t="str">
        <x:f>IF(V37="","",IF(V37&lt;=14,"Tier 1 - Minimal",IF(V37&lt;=21,"Tier 2 - Limited",IF(V37&lt;=28,"Tier 3 - High","Tier 4 - Critical"))))</x:f>
      </x:c>
      <x:c r="X37" s="12"/>
      <x:c r="Y37" s="12"/>
      <x:c r="Z37" s="14"/>
      <x:c r="AA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 t="n">
        <x:f>SUM(F38:N38)</x:f>
        <x:v>0</x:v>
      </x:c>
      <x:c r="P38" s="12" t="str">
        <x:f>IF(O38="","",IF(O38&lt;=14,"Tier 1 - Minimal",IF(O38&lt;=21,"Tier 2 - Limited",IF(O38&lt;=28,"Tier 3 - High","Tier 4 - Critical"))))</x:f>
      </x:c>
      <x:c r="Q38" s="12"/>
      <x:c r="R38" s="12" t="str">
        <x:f>IF(O38="","",IF(Q38="Yes - Tier 4","Tier 4 - Critical",IF(Q38="Yes - Tier 3",IF(O38&lt;=28,"Tier 3 - High",P38),P38)))</x:f>
      </x:c>
      <x:c r="S38" s="12"/>
      <x:c r="T38" s="12"/>
      <x:c r="U38" s="12"/>
      <x:c r="V38" s="12"/>
      <x:c r="W38" s="12" t="str">
        <x:f>IF(V38="","",IF(V38&lt;=14,"Tier 1 - Minimal",IF(V38&lt;=21,"Tier 2 - Limited",IF(V38&lt;=28,"Tier 3 - High","Tier 4 - Critical"))))</x:f>
      </x:c>
      <x:c r="X38" s="12"/>
      <x:c r="Y38" s="12"/>
      <x:c r="Z38" s="14"/>
      <x:c r="AA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 t="n">
        <x:f>SUM(F39:N39)</x:f>
        <x:v>0</x:v>
      </x:c>
      <x:c r="P39" s="12" t="str">
        <x:f>IF(O39="","",IF(O39&lt;=14,"Tier 1 - Minimal",IF(O39&lt;=21,"Tier 2 - Limited",IF(O39&lt;=28,"Tier 3 - High","Tier 4 - Critical"))))</x:f>
      </x:c>
      <x:c r="Q39" s="12"/>
      <x:c r="R39" s="12" t="str">
        <x:f>IF(O39="","",IF(Q39="Yes - Tier 4","Tier 4 - Critical",IF(Q39="Yes - Tier 3",IF(O39&lt;=28,"Tier 3 - High",P39),P39)))</x:f>
      </x:c>
      <x:c r="S39" s="12"/>
      <x:c r="T39" s="12"/>
      <x:c r="U39" s="12"/>
      <x:c r="V39" s="12"/>
      <x:c r="W39" s="12" t="str">
        <x:f>IF(V39="","",IF(V39&lt;=14,"Tier 1 - Minimal",IF(V39&lt;=21,"Tier 2 - Limited",IF(V39&lt;=28,"Tier 3 - High","Tier 4 - Critical"))))</x:f>
      </x:c>
      <x:c r="X39" s="12"/>
      <x:c r="Y39" s="12"/>
      <x:c r="Z39" s="14"/>
      <x:c r="AA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 t="n">
        <x:f>SUM(F40:N40)</x:f>
        <x:v>0</x:v>
      </x:c>
      <x:c r="P40" s="12" t="str">
        <x:f>IF(O40="","",IF(O40&lt;=14,"Tier 1 - Minimal",IF(O40&lt;=21,"Tier 2 - Limited",IF(O40&lt;=28,"Tier 3 - High","Tier 4 - Critical"))))</x:f>
      </x:c>
      <x:c r="Q40" s="12"/>
      <x:c r="R40" s="12" t="str">
        <x:f>IF(O40="","",IF(Q40="Yes - Tier 4","Tier 4 - Critical",IF(Q40="Yes - Tier 3",IF(O40&lt;=28,"Tier 3 - High",P40),P40)))</x:f>
      </x:c>
      <x:c r="S40" s="12"/>
      <x:c r="T40" s="12"/>
      <x:c r="U40" s="12"/>
      <x:c r="V40" s="12"/>
      <x:c r="W40" s="12" t="str">
        <x:f>IF(V40="","",IF(V40&lt;=14,"Tier 1 - Minimal",IF(V40&lt;=21,"Tier 2 - Limited",IF(V40&lt;=28,"Tier 3 - High","Tier 4 - Critical"))))</x:f>
      </x:c>
      <x:c r="X40" s="12"/>
      <x:c r="Y40" s="12"/>
      <x:c r="Z40" s="14"/>
      <x:c r="AA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 t="n">
        <x:f>SUM(F41:N41)</x:f>
        <x:v>0</x:v>
      </x:c>
      <x:c r="P41" s="12" t="str">
        <x:f>IF(O41="","",IF(O41&lt;=14,"Tier 1 - Minimal",IF(O41&lt;=21,"Tier 2 - Limited",IF(O41&lt;=28,"Tier 3 - High","Tier 4 - Critical"))))</x:f>
      </x:c>
      <x:c r="Q41" s="12"/>
      <x:c r="R41" s="12" t="str">
        <x:f>IF(O41="","",IF(Q41="Yes - Tier 4","Tier 4 - Critical",IF(Q41="Yes - Tier 3",IF(O41&lt;=28,"Tier 3 - High",P41),P41)))</x:f>
      </x:c>
      <x:c r="S41" s="12"/>
      <x:c r="T41" s="12"/>
      <x:c r="U41" s="12"/>
      <x:c r="V41" s="12"/>
      <x:c r="W41" s="12" t="str">
        <x:f>IF(V41="","",IF(V41&lt;=14,"Tier 1 - Minimal",IF(V41&lt;=21,"Tier 2 - Limited",IF(V41&lt;=28,"Tier 3 - High","Tier 4 - Critical"))))</x:f>
      </x:c>
      <x:c r="X41" s="12"/>
      <x:c r="Y41" s="12"/>
      <x:c r="Z41" s="14"/>
      <x:c r="AA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 t="n">
        <x:f>SUM(F42:N42)</x:f>
        <x:v>0</x:v>
      </x:c>
      <x:c r="P42" s="12" t="str">
        <x:f>IF(O42="","",IF(O42&lt;=14,"Tier 1 - Minimal",IF(O42&lt;=21,"Tier 2 - Limited",IF(O42&lt;=28,"Tier 3 - High","Tier 4 - Critical"))))</x:f>
      </x:c>
      <x:c r="Q42" s="12"/>
      <x:c r="R42" s="12" t="str">
        <x:f>IF(O42="","",IF(Q42="Yes - Tier 4","Tier 4 - Critical",IF(Q42="Yes - Tier 3",IF(O42&lt;=28,"Tier 3 - High",P42),P42)))</x:f>
      </x:c>
      <x:c r="S42" s="12"/>
      <x:c r="T42" s="12"/>
      <x:c r="U42" s="12"/>
      <x:c r="V42" s="12"/>
      <x:c r="W42" s="12" t="str">
        <x:f>IF(V42="","",IF(V42&lt;=14,"Tier 1 - Minimal",IF(V42&lt;=21,"Tier 2 - Limited",IF(V42&lt;=28,"Tier 3 - High","Tier 4 - Critical"))))</x:f>
      </x:c>
      <x:c r="X42" s="12"/>
      <x:c r="Y42" s="12"/>
      <x:c r="Z42" s="14"/>
      <x:c r="AA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 t="n">
        <x:f>SUM(F43:N43)</x:f>
        <x:v>0</x:v>
      </x:c>
      <x:c r="P43" s="12" t="str">
        <x:f>IF(O43="","",IF(O43&lt;=14,"Tier 1 - Minimal",IF(O43&lt;=21,"Tier 2 - Limited",IF(O43&lt;=28,"Tier 3 - High","Tier 4 - Critical"))))</x:f>
      </x:c>
      <x:c r="Q43" s="12"/>
      <x:c r="R43" s="12" t="str">
        <x:f>IF(O43="","",IF(Q43="Yes - Tier 4","Tier 4 - Critical",IF(Q43="Yes - Tier 3",IF(O43&lt;=28,"Tier 3 - High",P43),P43)))</x:f>
      </x:c>
      <x:c r="S43" s="12"/>
      <x:c r="T43" s="12"/>
      <x:c r="U43" s="12"/>
      <x:c r="V43" s="12"/>
      <x:c r="W43" s="12" t="str">
        <x:f>IF(V43="","",IF(V43&lt;=14,"Tier 1 - Minimal",IF(V43&lt;=21,"Tier 2 - Limited",IF(V43&lt;=28,"Tier 3 - High","Tier 4 - Critical"))))</x:f>
      </x:c>
      <x:c r="X43" s="12"/>
      <x:c r="Y43" s="12"/>
      <x:c r="Z43" s="14"/>
      <x:c r="AA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 t="n">
        <x:f>SUM(F44:N44)</x:f>
        <x:v>0</x:v>
      </x:c>
      <x:c r="P44" s="12" t="str">
        <x:f>IF(O44="","",IF(O44&lt;=14,"Tier 1 - Minimal",IF(O44&lt;=21,"Tier 2 - Limited",IF(O44&lt;=28,"Tier 3 - High","Tier 4 - Critical"))))</x:f>
      </x:c>
      <x:c r="Q44" s="12"/>
      <x:c r="R44" s="12" t="str">
        <x:f>IF(O44="","",IF(Q44="Yes - Tier 4","Tier 4 - Critical",IF(Q44="Yes - Tier 3",IF(O44&lt;=28,"Tier 3 - High",P44),P44)))</x:f>
      </x:c>
      <x:c r="S44" s="12"/>
      <x:c r="T44" s="12"/>
      <x:c r="U44" s="12"/>
      <x:c r="V44" s="12"/>
      <x:c r="W44" s="12" t="str">
        <x:f>IF(V44="","",IF(V44&lt;=14,"Tier 1 - Minimal",IF(V44&lt;=21,"Tier 2 - Limited",IF(V44&lt;=28,"Tier 3 - High","Tier 4 - Critical"))))</x:f>
      </x:c>
      <x:c r="X44" s="12"/>
      <x:c r="Y44" s="12"/>
      <x:c r="Z44" s="14"/>
      <x:c r="AA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 t="n">
        <x:f>SUM(F45:N45)</x:f>
        <x:v>0</x:v>
      </x:c>
      <x:c r="P45" s="12" t="str">
        <x:f>IF(O45="","",IF(O45&lt;=14,"Tier 1 - Minimal",IF(O45&lt;=21,"Tier 2 - Limited",IF(O45&lt;=28,"Tier 3 - High","Tier 4 - Critical"))))</x:f>
      </x:c>
      <x:c r="Q45" s="12"/>
      <x:c r="R45" s="12" t="str">
        <x:f>IF(O45="","",IF(Q45="Yes - Tier 4","Tier 4 - Critical",IF(Q45="Yes - Tier 3",IF(O45&lt;=28,"Tier 3 - High",P45),P45)))</x:f>
      </x:c>
      <x:c r="S45" s="12"/>
      <x:c r="T45" s="12"/>
      <x:c r="U45" s="12"/>
      <x:c r="V45" s="12"/>
      <x:c r="W45" s="12" t="str">
        <x:f>IF(V45="","",IF(V45&lt;=14,"Tier 1 - Minimal",IF(V45&lt;=21,"Tier 2 - Limited",IF(V45&lt;=28,"Tier 3 - High","Tier 4 - Critical"))))</x:f>
      </x:c>
      <x:c r="X45" s="12"/>
      <x:c r="Y45" s="12"/>
      <x:c r="Z45" s="14"/>
      <x:c r="AA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 t="n">
        <x:f>SUM(F46:N46)</x:f>
        <x:v>0</x:v>
      </x:c>
      <x:c r="P46" s="12" t="str">
        <x:f>IF(O46="","",IF(O46&lt;=14,"Tier 1 - Minimal",IF(O46&lt;=21,"Tier 2 - Limited",IF(O46&lt;=28,"Tier 3 - High","Tier 4 - Critical"))))</x:f>
      </x:c>
      <x:c r="Q46" s="12"/>
      <x:c r="R46" s="12" t="str">
        <x:f>IF(O46="","",IF(Q46="Yes - Tier 4","Tier 4 - Critical",IF(Q46="Yes - Tier 3",IF(O46&lt;=28,"Tier 3 - High",P46),P46)))</x:f>
      </x:c>
      <x:c r="S46" s="12"/>
      <x:c r="T46" s="12"/>
      <x:c r="U46" s="12"/>
      <x:c r="V46" s="12"/>
      <x:c r="W46" s="12" t="str">
        <x:f>IF(V46="","",IF(V46&lt;=14,"Tier 1 - Minimal",IF(V46&lt;=21,"Tier 2 - Limited",IF(V46&lt;=28,"Tier 3 - High","Tier 4 - Critical"))))</x:f>
      </x:c>
      <x:c r="X46" s="12"/>
      <x:c r="Y46" s="12"/>
      <x:c r="Z46" s="14"/>
      <x:c r="AA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 t="n">
        <x:f>SUM(F47:N47)</x:f>
        <x:v>0</x:v>
      </x:c>
      <x:c r="P47" s="12" t="str">
        <x:f>IF(O47="","",IF(O47&lt;=14,"Tier 1 - Minimal",IF(O47&lt;=21,"Tier 2 - Limited",IF(O47&lt;=28,"Tier 3 - High","Tier 4 - Critical"))))</x:f>
      </x:c>
      <x:c r="Q47" s="12"/>
      <x:c r="R47" s="12" t="str">
        <x:f>IF(O47="","",IF(Q47="Yes - Tier 4","Tier 4 - Critical",IF(Q47="Yes - Tier 3",IF(O47&lt;=28,"Tier 3 - High",P47),P47)))</x:f>
      </x:c>
      <x:c r="S47" s="12"/>
      <x:c r="T47" s="12"/>
      <x:c r="U47" s="12"/>
      <x:c r="V47" s="12"/>
      <x:c r="W47" s="12" t="str">
        <x:f>IF(V47="","",IF(V47&lt;=14,"Tier 1 - Minimal",IF(V47&lt;=21,"Tier 2 - Limited",IF(V47&lt;=28,"Tier 3 - High","Tier 4 - Critical"))))</x:f>
      </x:c>
      <x:c r="X47" s="12"/>
      <x:c r="Y47" s="12"/>
      <x:c r="Z47" s="14"/>
      <x:c r="AA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 t="n">
        <x:f>SUM(F48:N48)</x:f>
        <x:v>0</x:v>
      </x:c>
      <x:c r="P48" s="12" t="str">
        <x:f>IF(O48="","",IF(O48&lt;=14,"Tier 1 - Minimal",IF(O48&lt;=21,"Tier 2 - Limited",IF(O48&lt;=28,"Tier 3 - High","Tier 4 - Critical"))))</x:f>
      </x:c>
      <x:c r="Q48" s="12"/>
      <x:c r="R48" s="12" t="str">
        <x:f>IF(O48="","",IF(Q48="Yes - Tier 4","Tier 4 - Critical",IF(Q48="Yes - Tier 3",IF(O48&lt;=28,"Tier 3 - High",P48),P48)))</x:f>
      </x:c>
      <x:c r="S48" s="12"/>
      <x:c r="T48" s="12"/>
      <x:c r="U48" s="12"/>
      <x:c r="V48" s="12"/>
      <x:c r="W48" s="12" t="str">
        <x:f>IF(V48="","",IF(V48&lt;=14,"Tier 1 - Minimal",IF(V48&lt;=21,"Tier 2 - Limited",IF(V48&lt;=28,"Tier 3 - High","Tier 4 - Critical"))))</x:f>
      </x:c>
      <x:c r="X48" s="12"/>
      <x:c r="Y48" s="12"/>
      <x:c r="Z48" s="14"/>
      <x:c r="AA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 t="n">
        <x:f>SUM(F49:N49)</x:f>
        <x:v>0</x:v>
      </x:c>
      <x:c r="P49" s="12" t="str">
        <x:f>IF(O49="","",IF(O49&lt;=14,"Tier 1 - Minimal",IF(O49&lt;=21,"Tier 2 - Limited",IF(O49&lt;=28,"Tier 3 - High","Tier 4 - Critical"))))</x:f>
      </x:c>
      <x:c r="Q49" s="12"/>
      <x:c r="R49" s="12" t="str">
        <x:f>IF(O49="","",IF(Q49="Yes - Tier 4","Tier 4 - Critical",IF(Q49="Yes - Tier 3",IF(O49&lt;=28,"Tier 3 - High",P49),P49)))</x:f>
      </x:c>
      <x:c r="S49" s="12"/>
      <x:c r="T49" s="12"/>
      <x:c r="U49" s="12"/>
      <x:c r="V49" s="12"/>
      <x:c r="W49" s="12" t="str">
        <x:f>IF(V49="","",IF(V49&lt;=14,"Tier 1 - Minimal",IF(V49&lt;=21,"Tier 2 - Limited",IF(V49&lt;=28,"Tier 3 - High","Tier 4 - Critical"))))</x:f>
      </x:c>
      <x:c r="X49" s="12"/>
      <x:c r="Y49" s="12"/>
      <x:c r="Z49" s="14"/>
      <x:c r="AA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 t="n">
        <x:f>SUM(F50:N50)</x:f>
        <x:v>0</x:v>
      </x:c>
      <x:c r="P50" s="12" t="str">
        <x:f>IF(O50="","",IF(O50&lt;=14,"Tier 1 - Minimal",IF(O50&lt;=21,"Tier 2 - Limited",IF(O50&lt;=28,"Tier 3 - High","Tier 4 - Critical"))))</x:f>
      </x:c>
      <x:c r="Q50" s="12"/>
      <x:c r="R50" s="12" t="str">
        <x:f>IF(O50="","",IF(Q50="Yes - Tier 4","Tier 4 - Critical",IF(Q50="Yes - Tier 3",IF(O50&lt;=28,"Tier 3 - High",P50),P50)))</x:f>
      </x:c>
      <x:c r="S50" s="12"/>
      <x:c r="T50" s="12"/>
      <x:c r="U50" s="12"/>
      <x:c r="V50" s="12"/>
      <x:c r="W50" s="12" t="str">
        <x:f>IF(V50="","",IF(V50&lt;=14,"Tier 1 - Minimal",IF(V50&lt;=21,"Tier 2 - Limited",IF(V50&lt;=28,"Tier 3 - High","Tier 4 - Critical"))))</x:f>
      </x:c>
      <x:c r="X50" s="12"/>
      <x:c r="Y50" s="12"/>
      <x:c r="Z50" s="14"/>
      <x:c r="AA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 t="n">
        <x:f>SUM(F51:N51)</x:f>
        <x:v>0</x:v>
      </x:c>
      <x:c r="P51" s="12" t="str">
        <x:f>IF(O51="","",IF(O51&lt;=14,"Tier 1 - Minimal",IF(O51&lt;=21,"Tier 2 - Limited",IF(O51&lt;=28,"Tier 3 - High","Tier 4 - Critical"))))</x:f>
      </x:c>
      <x:c r="Q51" s="12"/>
      <x:c r="R51" s="12" t="str">
        <x:f>IF(O51="","",IF(Q51="Yes - Tier 4","Tier 4 - Critical",IF(Q51="Yes - Tier 3",IF(O51&lt;=28,"Tier 3 - High",P51),P51)))</x:f>
      </x:c>
      <x:c r="S51" s="12"/>
      <x:c r="T51" s="12"/>
      <x:c r="U51" s="12"/>
      <x:c r="V51" s="12"/>
      <x:c r="W51" s="12" t="str">
        <x:f>IF(V51="","",IF(V51&lt;=14,"Tier 1 - Minimal",IF(V51&lt;=21,"Tier 2 - Limited",IF(V51&lt;=28,"Tier 3 - High","Tier 4 - Critical"))))</x:f>
      </x:c>
      <x:c r="X51" s="12"/>
      <x:c r="Y51" s="12"/>
      <x:c r="Z51" s="14"/>
      <x:c r="AA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 t="n">
        <x:f>SUM(F52:N52)</x:f>
        <x:v>0</x:v>
      </x:c>
      <x:c r="P52" s="12" t="str">
        <x:f>IF(O52="","",IF(O52&lt;=14,"Tier 1 - Minimal",IF(O52&lt;=21,"Tier 2 - Limited",IF(O52&lt;=28,"Tier 3 - High","Tier 4 - Critical"))))</x:f>
      </x:c>
      <x:c r="Q52" s="12"/>
      <x:c r="R52" s="12" t="str">
        <x:f>IF(O52="","",IF(Q52="Yes - Tier 4","Tier 4 - Critical",IF(Q52="Yes - Tier 3",IF(O52&lt;=28,"Tier 3 - High",P52),P52)))</x:f>
      </x:c>
      <x:c r="S52" s="12"/>
      <x:c r="T52" s="12"/>
      <x:c r="U52" s="12"/>
      <x:c r="V52" s="12"/>
      <x:c r="W52" s="12" t="str">
        <x:f>IF(V52="","",IF(V52&lt;=14,"Tier 1 - Minimal",IF(V52&lt;=21,"Tier 2 - Limited",IF(V52&lt;=28,"Tier 3 - High","Tier 4 - Critical"))))</x:f>
      </x:c>
      <x:c r="X52" s="12"/>
      <x:c r="Y52" s="12"/>
      <x:c r="Z52" s="14"/>
      <x:c r="AA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 t="n">
        <x:f>SUM(F53:N53)</x:f>
        <x:v>0</x:v>
      </x:c>
      <x:c r="P53" s="12" t="str">
        <x:f>IF(O53="","",IF(O53&lt;=14,"Tier 1 - Minimal",IF(O53&lt;=21,"Tier 2 - Limited",IF(O53&lt;=28,"Tier 3 - High","Tier 4 - Critical"))))</x:f>
      </x:c>
      <x:c r="Q53" s="12"/>
      <x:c r="R53" s="12" t="str">
        <x:f>IF(O53="","",IF(Q53="Yes - Tier 4","Tier 4 - Critical",IF(Q53="Yes - Tier 3",IF(O53&lt;=28,"Tier 3 - High",P53),P53)))</x:f>
      </x:c>
      <x:c r="S53" s="12"/>
      <x:c r="T53" s="12"/>
      <x:c r="U53" s="12"/>
      <x:c r="V53" s="12"/>
      <x:c r="W53" s="12" t="str">
        <x:f>IF(V53="","",IF(V53&lt;=14,"Tier 1 - Minimal",IF(V53&lt;=21,"Tier 2 - Limited",IF(V53&lt;=28,"Tier 3 - High","Tier 4 - Critical"))))</x:f>
      </x:c>
      <x:c r="X53" s="12"/>
      <x:c r="Y53" s="12"/>
      <x:c r="Z53" s="14"/>
      <x:c r="AA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 t="n">
        <x:f>SUM(F54:N54)</x:f>
        <x:v>0</x:v>
      </x:c>
      <x:c r="P54" s="12" t="str">
        <x:f>IF(O54="","",IF(O54&lt;=14,"Tier 1 - Minimal",IF(O54&lt;=21,"Tier 2 - Limited",IF(O54&lt;=28,"Tier 3 - High","Tier 4 - Critical"))))</x:f>
      </x:c>
      <x:c r="Q54" s="12"/>
      <x:c r="R54" s="12" t="str">
        <x:f>IF(O54="","",IF(Q54="Yes - Tier 4","Tier 4 - Critical",IF(Q54="Yes - Tier 3",IF(O54&lt;=28,"Tier 3 - High",P54),P54)))</x:f>
      </x:c>
      <x:c r="S54" s="12"/>
      <x:c r="T54" s="12"/>
      <x:c r="U54" s="12"/>
      <x:c r="V54" s="12"/>
      <x:c r="W54" s="12" t="str">
        <x:f>IF(V54="","",IF(V54&lt;=14,"Tier 1 - Minimal",IF(V54&lt;=21,"Tier 2 - Limited",IF(V54&lt;=28,"Tier 3 - High","Tier 4 - Critical"))))</x:f>
      </x:c>
      <x:c r="X54" s="12"/>
      <x:c r="Y54" s="12"/>
      <x:c r="Z54" s="14"/>
      <x:c r="AA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 t="n">
        <x:f>SUM(F55:N55)</x:f>
        <x:v>0</x:v>
      </x:c>
      <x:c r="P55" s="12" t="str">
        <x:f>IF(O55="","",IF(O55&lt;=14,"Tier 1 - Minimal",IF(O55&lt;=21,"Tier 2 - Limited",IF(O55&lt;=28,"Tier 3 - High","Tier 4 - Critical"))))</x:f>
      </x:c>
      <x:c r="Q55" s="12"/>
      <x:c r="R55" s="12" t="str">
        <x:f>IF(O55="","",IF(Q55="Yes - Tier 4","Tier 4 - Critical",IF(Q55="Yes - Tier 3",IF(O55&lt;=28,"Tier 3 - High",P55),P55)))</x:f>
      </x:c>
      <x:c r="S55" s="12"/>
      <x:c r="T55" s="12"/>
      <x:c r="U55" s="12"/>
      <x:c r="V55" s="12"/>
      <x:c r="W55" s="12" t="str">
        <x:f>IF(V55="","",IF(V55&lt;=14,"Tier 1 - Minimal",IF(V55&lt;=21,"Tier 2 - Limited",IF(V55&lt;=28,"Tier 3 - High","Tier 4 - Critical"))))</x:f>
      </x:c>
      <x:c r="X55" s="12"/>
      <x:c r="Y55" s="12"/>
      <x:c r="Z55" s="14"/>
      <x:c r="AA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 t="n">
        <x:f>SUM(F56:N56)</x:f>
        <x:v>0</x:v>
      </x:c>
      <x:c r="P56" s="12" t="str">
        <x:f>IF(O56="","",IF(O56&lt;=14,"Tier 1 - Minimal",IF(O56&lt;=21,"Tier 2 - Limited",IF(O56&lt;=28,"Tier 3 - High","Tier 4 - Critical"))))</x:f>
      </x:c>
      <x:c r="Q56" s="12"/>
      <x:c r="R56" s="12" t="str">
        <x:f>IF(O56="","",IF(Q56="Yes - Tier 4","Tier 4 - Critical",IF(Q56="Yes - Tier 3",IF(O56&lt;=28,"Tier 3 - High",P56),P56)))</x:f>
      </x:c>
      <x:c r="S56" s="12"/>
      <x:c r="T56" s="12"/>
      <x:c r="U56" s="12"/>
      <x:c r="V56" s="12"/>
      <x:c r="W56" s="12" t="str">
        <x:f>IF(V56="","",IF(V56&lt;=14,"Tier 1 - Minimal",IF(V56&lt;=21,"Tier 2 - Limited",IF(V56&lt;=28,"Tier 3 - High","Tier 4 - Critical"))))</x:f>
      </x:c>
      <x:c r="X56" s="12"/>
      <x:c r="Y56" s="12"/>
      <x:c r="Z56" s="14"/>
      <x:c r="AA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 t="n">
        <x:f>SUM(F57:N57)</x:f>
        <x:v>0</x:v>
      </x:c>
      <x:c r="P57" s="12" t="str">
        <x:f>IF(O57="","",IF(O57&lt;=14,"Tier 1 - Minimal",IF(O57&lt;=21,"Tier 2 - Limited",IF(O57&lt;=28,"Tier 3 - High","Tier 4 - Critical"))))</x:f>
      </x:c>
      <x:c r="Q57" s="12"/>
      <x:c r="R57" s="12" t="str">
        <x:f>IF(O57="","",IF(Q57="Yes - Tier 4","Tier 4 - Critical",IF(Q57="Yes - Tier 3",IF(O57&lt;=28,"Tier 3 - High",P57),P57)))</x:f>
      </x:c>
      <x:c r="S57" s="12"/>
      <x:c r="T57" s="12"/>
      <x:c r="U57" s="12"/>
      <x:c r="V57" s="12"/>
      <x:c r="W57" s="12" t="str">
        <x:f>IF(V57="","",IF(V57&lt;=14,"Tier 1 - Minimal",IF(V57&lt;=21,"Tier 2 - Limited",IF(V57&lt;=28,"Tier 3 - High","Tier 4 - Critical"))))</x:f>
      </x:c>
      <x:c r="X57" s="12"/>
      <x:c r="Y57" s="12"/>
      <x:c r="Z57" s="14"/>
      <x:c r="AA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 t="n">
        <x:f>SUM(F58:N58)</x:f>
        <x:v>0</x:v>
      </x:c>
      <x:c r="P58" s="12" t="str">
        <x:f>IF(O58="","",IF(O58&lt;=14,"Tier 1 - Minimal",IF(O58&lt;=21,"Tier 2 - Limited",IF(O58&lt;=28,"Tier 3 - High","Tier 4 - Critical"))))</x:f>
      </x:c>
      <x:c r="Q58" s="12"/>
      <x:c r="R58" s="12" t="str">
        <x:f>IF(O58="","",IF(Q58="Yes - Tier 4","Tier 4 - Critical",IF(Q58="Yes - Tier 3",IF(O58&lt;=28,"Tier 3 - High",P58),P58)))</x:f>
      </x:c>
      <x:c r="S58" s="12"/>
      <x:c r="T58" s="12"/>
      <x:c r="U58" s="12"/>
      <x:c r="V58" s="12"/>
      <x:c r="W58" s="12" t="str">
        <x:f>IF(V58="","",IF(V58&lt;=14,"Tier 1 - Minimal",IF(V58&lt;=21,"Tier 2 - Limited",IF(V58&lt;=28,"Tier 3 - High","Tier 4 - Critical"))))</x:f>
      </x:c>
      <x:c r="X58" s="12"/>
      <x:c r="Y58" s="12"/>
      <x:c r="Z58" s="14"/>
      <x:c r="AA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 t="n">
        <x:f>SUM(F59:N59)</x:f>
        <x:v>0</x:v>
      </x:c>
      <x:c r="P59" s="12" t="str">
        <x:f>IF(O59="","",IF(O59&lt;=14,"Tier 1 - Minimal",IF(O59&lt;=21,"Tier 2 - Limited",IF(O59&lt;=28,"Tier 3 - High","Tier 4 - Critical"))))</x:f>
      </x:c>
      <x:c r="Q59" s="12"/>
      <x:c r="R59" s="12" t="str">
        <x:f>IF(O59="","",IF(Q59="Yes - Tier 4","Tier 4 - Critical",IF(Q59="Yes - Tier 3",IF(O59&lt;=28,"Tier 3 - High",P59),P59)))</x:f>
      </x:c>
      <x:c r="S59" s="12"/>
      <x:c r="T59" s="12"/>
      <x:c r="U59" s="12"/>
      <x:c r="V59" s="12"/>
      <x:c r="W59" s="12" t="str">
        <x:f>IF(V59="","",IF(V59&lt;=14,"Tier 1 - Minimal",IF(V59&lt;=21,"Tier 2 - Limited",IF(V59&lt;=28,"Tier 3 - High","Tier 4 - Critical"))))</x:f>
      </x:c>
      <x:c r="X59" s="12"/>
      <x:c r="Y59" s="12"/>
      <x:c r="Z59" s="14"/>
      <x:c r="AA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 t="n">
        <x:f>SUM(F60:N60)</x:f>
        <x:v>0</x:v>
      </x:c>
      <x:c r="P60" s="12" t="str">
        <x:f>IF(O60="","",IF(O60&lt;=14,"Tier 1 - Minimal",IF(O60&lt;=21,"Tier 2 - Limited",IF(O60&lt;=28,"Tier 3 - High","Tier 4 - Critical"))))</x:f>
      </x:c>
      <x:c r="Q60" s="12"/>
      <x:c r="R60" s="12" t="str">
        <x:f>IF(O60="","",IF(Q60="Yes - Tier 4","Tier 4 - Critical",IF(Q60="Yes - Tier 3",IF(O60&lt;=28,"Tier 3 - High",P60),P60)))</x:f>
      </x:c>
      <x:c r="S60" s="12"/>
      <x:c r="T60" s="12"/>
      <x:c r="U60" s="12"/>
      <x:c r="V60" s="12"/>
      <x:c r="W60" s="12" t="str">
        <x:f>IF(V60="","",IF(V60&lt;=14,"Tier 1 - Minimal",IF(V60&lt;=21,"Tier 2 - Limited",IF(V60&lt;=28,"Tier 3 - High","Tier 4 - Critical"))))</x:f>
      </x:c>
      <x:c r="X60" s="12"/>
      <x:c r="Y60" s="12"/>
      <x:c r="Z60" s="14"/>
      <x:c r="AA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 t="n">
        <x:f>SUM(F61:N61)</x:f>
        <x:v>0</x:v>
      </x:c>
      <x:c r="P61" s="12" t="str">
        <x:f>IF(O61="","",IF(O61&lt;=14,"Tier 1 - Minimal",IF(O61&lt;=21,"Tier 2 - Limited",IF(O61&lt;=28,"Tier 3 - High","Tier 4 - Critical"))))</x:f>
      </x:c>
      <x:c r="Q61" s="12"/>
      <x:c r="R61" s="12" t="str">
        <x:f>IF(O61="","",IF(Q61="Yes - Tier 4","Tier 4 - Critical",IF(Q61="Yes - Tier 3",IF(O61&lt;=28,"Tier 3 - High",P61),P61)))</x:f>
      </x:c>
      <x:c r="S61" s="12"/>
      <x:c r="T61" s="12"/>
      <x:c r="U61" s="12"/>
      <x:c r="V61" s="12"/>
      <x:c r="W61" s="12" t="str">
        <x:f>IF(V61="","",IF(V61&lt;=14,"Tier 1 - Minimal",IF(V61&lt;=21,"Tier 2 - Limited",IF(V61&lt;=28,"Tier 3 - High","Tier 4 - Critical"))))</x:f>
      </x:c>
      <x:c r="X61" s="12"/>
      <x:c r="Y61" s="12"/>
      <x:c r="Z61" s="14"/>
      <x:c r="AA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 t="n">
        <x:f>SUM(F62:N62)</x:f>
        <x:v>0</x:v>
      </x:c>
      <x:c r="P62" s="12" t="str">
        <x:f>IF(O62="","",IF(O62&lt;=14,"Tier 1 - Minimal",IF(O62&lt;=21,"Tier 2 - Limited",IF(O62&lt;=28,"Tier 3 - High","Tier 4 - Critical"))))</x:f>
      </x:c>
      <x:c r="Q62" s="12"/>
      <x:c r="R62" s="12" t="str">
        <x:f>IF(O62="","",IF(Q62="Yes - Tier 4","Tier 4 - Critical",IF(Q62="Yes - Tier 3",IF(O62&lt;=28,"Tier 3 - High",P62),P62)))</x:f>
      </x:c>
      <x:c r="S62" s="12"/>
      <x:c r="T62" s="12"/>
      <x:c r="U62" s="12"/>
      <x:c r="V62" s="12"/>
      <x:c r="W62" s="12" t="str">
        <x:f>IF(V62="","",IF(V62&lt;=14,"Tier 1 - Minimal",IF(V62&lt;=21,"Tier 2 - Limited",IF(V62&lt;=28,"Tier 3 - High","Tier 4 - Critical"))))</x:f>
      </x:c>
      <x:c r="X62" s="12"/>
      <x:c r="Y62" s="12"/>
      <x:c r="Z62" s="14"/>
      <x:c r="AA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 t="n">
        <x:f>SUM(F63:N63)</x:f>
        <x:v>0</x:v>
      </x:c>
      <x:c r="P63" s="12" t="str">
        <x:f>IF(O63="","",IF(O63&lt;=14,"Tier 1 - Minimal",IF(O63&lt;=21,"Tier 2 - Limited",IF(O63&lt;=28,"Tier 3 - High","Tier 4 - Critical"))))</x:f>
      </x:c>
      <x:c r="Q63" s="12"/>
      <x:c r="R63" s="12" t="str">
        <x:f>IF(O63="","",IF(Q63="Yes - Tier 4","Tier 4 - Critical",IF(Q63="Yes - Tier 3",IF(O63&lt;=28,"Tier 3 - High",P63),P63)))</x:f>
      </x:c>
      <x:c r="S63" s="12"/>
      <x:c r="T63" s="12"/>
      <x:c r="U63" s="12"/>
      <x:c r="V63" s="12"/>
      <x:c r="W63" s="12" t="str">
        <x:f>IF(V63="","",IF(V63&lt;=14,"Tier 1 - Minimal",IF(V63&lt;=21,"Tier 2 - Limited",IF(V63&lt;=28,"Tier 3 - High","Tier 4 - Critical"))))</x:f>
      </x:c>
      <x:c r="X63" s="12"/>
      <x:c r="Y63" s="12"/>
      <x:c r="Z63" s="14"/>
      <x:c r="AA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 t="n">
        <x:f>SUM(F64:N64)</x:f>
        <x:v>0</x:v>
      </x:c>
      <x:c r="P64" s="12" t="str">
        <x:f>IF(O64="","",IF(O64&lt;=14,"Tier 1 - Minimal",IF(O64&lt;=21,"Tier 2 - Limited",IF(O64&lt;=28,"Tier 3 - High","Tier 4 - Critical"))))</x:f>
      </x:c>
      <x:c r="Q64" s="12"/>
      <x:c r="R64" s="12" t="str">
        <x:f>IF(O64="","",IF(Q64="Yes - Tier 4","Tier 4 - Critical",IF(Q64="Yes - Tier 3",IF(O64&lt;=28,"Tier 3 - High",P64),P64)))</x:f>
      </x:c>
      <x:c r="S64" s="12"/>
      <x:c r="T64" s="12"/>
      <x:c r="U64" s="12"/>
      <x:c r="V64" s="12"/>
      <x:c r="W64" s="12" t="str">
        <x:f>IF(V64="","",IF(V64&lt;=14,"Tier 1 - Minimal",IF(V64&lt;=21,"Tier 2 - Limited",IF(V64&lt;=28,"Tier 3 - High","Tier 4 - Critical"))))</x:f>
      </x:c>
      <x:c r="X64" s="12"/>
      <x:c r="Y64" s="12"/>
      <x:c r="Z64" s="14"/>
      <x:c r="AA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 t="n">
        <x:f>SUM(F65:N65)</x:f>
        <x:v>0</x:v>
      </x:c>
      <x:c r="P65" s="12" t="str">
        <x:f>IF(O65="","",IF(O65&lt;=14,"Tier 1 - Minimal",IF(O65&lt;=21,"Tier 2 - Limited",IF(O65&lt;=28,"Tier 3 - High","Tier 4 - Critical"))))</x:f>
      </x:c>
      <x:c r="Q65" s="12"/>
      <x:c r="R65" s="12" t="str">
        <x:f>IF(O65="","",IF(Q65="Yes - Tier 4","Tier 4 - Critical",IF(Q65="Yes - Tier 3",IF(O65&lt;=28,"Tier 3 - High",P65),P65)))</x:f>
      </x:c>
      <x:c r="S65" s="12"/>
      <x:c r="T65" s="12"/>
      <x:c r="U65" s="12"/>
      <x:c r="V65" s="12"/>
      <x:c r="W65" s="12" t="str">
        <x:f>IF(V65="","",IF(V65&lt;=14,"Tier 1 - Minimal",IF(V65&lt;=21,"Tier 2 - Limited",IF(V65&lt;=28,"Tier 3 - High","Tier 4 - Critical"))))</x:f>
      </x:c>
      <x:c r="X65" s="12"/>
      <x:c r="Y65" s="12"/>
      <x:c r="Z65" s="14"/>
      <x:c r="AA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 t="n">
        <x:f>SUM(F66:N66)</x:f>
        <x:v>0</x:v>
      </x:c>
      <x:c r="P66" s="12" t="str">
        <x:f>IF(O66="","",IF(O66&lt;=14,"Tier 1 - Minimal",IF(O66&lt;=21,"Tier 2 - Limited",IF(O66&lt;=28,"Tier 3 - High","Tier 4 - Critical"))))</x:f>
      </x:c>
      <x:c r="Q66" s="12"/>
      <x:c r="R66" s="12" t="str">
        <x:f>IF(O66="","",IF(Q66="Yes - Tier 4","Tier 4 - Critical",IF(Q66="Yes - Tier 3",IF(O66&lt;=28,"Tier 3 - High",P66),P66)))</x:f>
      </x:c>
      <x:c r="S66" s="12"/>
      <x:c r="T66" s="12"/>
      <x:c r="U66" s="12"/>
      <x:c r="V66" s="12"/>
      <x:c r="W66" s="12" t="str">
        <x:f>IF(V66="","",IF(V66&lt;=14,"Tier 1 - Minimal",IF(V66&lt;=21,"Tier 2 - Limited",IF(V66&lt;=28,"Tier 3 - High","Tier 4 - Critical"))))</x:f>
      </x:c>
      <x:c r="X66" s="12"/>
      <x:c r="Y66" s="12"/>
      <x:c r="Z66" s="14"/>
      <x:c r="AA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 t="n">
        <x:f>SUM(F67:N67)</x:f>
        <x:v>0</x:v>
      </x:c>
      <x:c r="P67" s="12" t="str">
        <x:f>IF(O67="","",IF(O67&lt;=14,"Tier 1 - Minimal",IF(O67&lt;=21,"Tier 2 - Limited",IF(O67&lt;=28,"Tier 3 - High","Tier 4 - Critical"))))</x:f>
      </x:c>
      <x:c r="Q67" s="12"/>
      <x:c r="R67" s="12" t="str">
        <x:f>IF(O67="","",IF(Q67="Yes - Tier 4","Tier 4 - Critical",IF(Q67="Yes - Tier 3",IF(O67&lt;=28,"Tier 3 - High",P67),P67)))</x:f>
      </x:c>
      <x:c r="S67" s="12"/>
      <x:c r="T67" s="12"/>
      <x:c r="U67" s="12"/>
      <x:c r="V67" s="12"/>
      <x:c r="W67" s="12" t="str">
        <x:f>IF(V67="","",IF(V67&lt;=14,"Tier 1 - Minimal",IF(V67&lt;=21,"Tier 2 - Limited",IF(V67&lt;=28,"Tier 3 - High","Tier 4 - Critical"))))</x:f>
      </x:c>
      <x:c r="X67" s="12"/>
      <x:c r="Y67" s="12"/>
      <x:c r="Z67" s="14"/>
      <x:c r="AA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 t="n">
        <x:f>SUM(F68:N68)</x:f>
        <x:v>0</x:v>
      </x:c>
      <x:c r="P68" s="12" t="str">
        <x:f>IF(O68="","",IF(O68&lt;=14,"Tier 1 - Minimal",IF(O68&lt;=21,"Tier 2 - Limited",IF(O68&lt;=28,"Tier 3 - High","Tier 4 - Critical"))))</x:f>
      </x:c>
      <x:c r="Q68" s="12"/>
      <x:c r="R68" s="12" t="str">
        <x:f>IF(O68="","",IF(Q68="Yes - Tier 4","Tier 4 - Critical",IF(Q68="Yes - Tier 3",IF(O68&lt;=28,"Tier 3 - High",P68),P68)))</x:f>
      </x:c>
      <x:c r="S68" s="12"/>
      <x:c r="T68" s="12"/>
      <x:c r="U68" s="12"/>
      <x:c r="V68" s="12"/>
      <x:c r="W68" s="12" t="str">
        <x:f>IF(V68="","",IF(V68&lt;=14,"Tier 1 - Minimal",IF(V68&lt;=21,"Tier 2 - Limited",IF(V68&lt;=28,"Tier 3 - High","Tier 4 - Critical"))))</x:f>
      </x:c>
      <x:c r="X68" s="12"/>
      <x:c r="Y68" s="12"/>
      <x:c r="Z68" s="14"/>
      <x:c r="AA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 t="n">
        <x:f>SUM(F69:N69)</x:f>
        <x:v>0</x:v>
      </x:c>
      <x:c r="P69" s="12" t="str">
        <x:f>IF(O69="","",IF(O69&lt;=14,"Tier 1 - Minimal",IF(O69&lt;=21,"Tier 2 - Limited",IF(O69&lt;=28,"Tier 3 - High","Tier 4 - Critical"))))</x:f>
      </x:c>
      <x:c r="Q69" s="12"/>
      <x:c r="R69" s="12" t="str">
        <x:f>IF(O69="","",IF(Q69="Yes - Tier 4","Tier 4 - Critical",IF(Q69="Yes - Tier 3",IF(O69&lt;=28,"Tier 3 - High",P69),P69)))</x:f>
      </x:c>
      <x:c r="S69" s="12"/>
      <x:c r="T69" s="12"/>
      <x:c r="U69" s="12"/>
      <x:c r="V69" s="12"/>
      <x:c r="W69" s="12" t="str">
        <x:f>IF(V69="","",IF(V69&lt;=14,"Tier 1 - Minimal",IF(V69&lt;=21,"Tier 2 - Limited",IF(V69&lt;=28,"Tier 3 - High","Tier 4 - Critical"))))</x:f>
      </x:c>
      <x:c r="X69" s="12"/>
      <x:c r="Y69" s="12"/>
      <x:c r="Z69" s="14"/>
      <x:c r="AA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 t="n">
        <x:f>SUM(F70:N70)</x:f>
        <x:v>0</x:v>
      </x:c>
      <x:c r="P70" s="12" t="str">
        <x:f>IF(O70="","",IF(O70&lt;=14,"Tier 1 - Minimal",IF(O70&lt;=21,"Tier 2 - Limited",IF(O70&lt;=28,"Tier 3 - High","Tier 4 - Critical"))))</x:f>
      </x:c>
      <x:c r="Q70" s="12"/>
      <x:c r="R70" s="12" t="str">
        <x:f>IF(O70="","",IF(Q70="Yes - Tier 4","Tier 4 - Critical",IF(Q70="Yes - Tier 3",IF(O70&lt;=28,"Tier 3 - High",P70),P70)))</x:f>
      </x:c>
      <x:c r="S70" s="12"/>
      <x:c r="T70" s="12"/>
      <x:c r="U70" s="12"/>
      <x:c r="V70" s="12"/>
      <x:c r="W70" s="12" t="str">
        <x:f>IF(V70="","",IF(V70&lt;=14,"Tier 1 - Minimal",IF(V70&lt;=21,"Tier 2 - Limited",IF(V70&lt;=28,"Tier 3 - High","Tier 4 - Critical"))))</x:f>
      </x:c>
      <x:c r="X70" s="12"/>
      <x:c r="Y70" s="12"/>
      <x:c r="Z70" s="14"/>
      <x:c r="AA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 t="n">
        <x:f>SUM(F71:N71)</x:f>
        <x:v>0</x:v>
      </x:c>
      <x:c r="P71" s="12" t="str">
        <x:f>IF(O71="","",IF(O71&lt;=14,"Tier 1 - Minimal",IF(O71&lt;=21,"Tier 2 - Limited",IF(O71&lt;=28,"Tier 3 - High","Tier 4 - Critical"))))</x:f>
      </x:c>
      <x:c r="Q71" s="12"/>
      <x:c r="R71" s="12" t="str">
        <x:f>IF(O71="","",IF(Q71="Yes - Tier 4","Tier 4 - Critical",IF(Q71="Yes - Tier 3",IF(O71&lt;=28,"Tier 3 - High",P71),P71)))</x:f>
      </x:c>
      <x:c r="S71" s="12"/>
      <x:c r="T71" s="12"/>
      <x:c r="U71" s="12"/>
      <x:c r="V71" s="12"/>
      <x:c r="W71" s="12" t="str">
        <x:f>IF(V71="","",IF(V71&lt;=14,"Tier 1 - Minimal",IF(V71&lt;=21,"Tier 2 - Limited",IF(V71&lt;=28,"Tier 3 - High","Tier 4 - Critical"))))</x:f>
      </x:c>
      <x:c r="X71" s="12"/>
      <x:c r="Y71" s="12"/>
      <x:c r="Z71" s="14"/>
      <x:c r="AA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 t="n">
        <x:f>SUM(F72:N72)</x:f>
        <x:v>0</x:v>
      </x:c>
      <x:c r="P72" s="12" t="str">
        <x:f>IF(O72="","",IF(O72&lt;=14,"Tier 1 - Minimal",IF(O72&lt;=21,"Tier 2 - Limited",IF(O72&lt;=28,"Tier 3 - High","Tier 4 - Critical"))))</x:f>
      </x:c>
      <x:c r="Q72" s="12"/>
      <x:c r="R72" s="12" t="str">
        <x:f>IF(O72="","",IF(Q72="Yes - Tier 4","Tier 4 - Critical",IF(Q72="Yes - Tier 3",IF(O72&lt;=28,"Tier 3 - High",P72),P72)))</x:f>
      </x:c>
      <x:c r="S72" s="12"/>
      <x:c r="T72" s="12"/>
      <x:c r="U72" s="12"/>
      <x:c r="V72" s="12"/>
      <x:c r="W72" s="12" t="str">
        <x:f>IF(V72="","",IF(V72&lt;=14,"Tier 1 - Minimal",IF(V72&lt;=21,"Tier 2 - Limited",IF(V72&lt;=28,"Tier 3 - High","Tier 4 - Critical"))))</x:f>
      </x:c>
      <x:c r="X72" s="12"/>
      <x:c r="Y72" s="12"/>
      <x:c r="Z72" s="14"/>
      <x:c r="AA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 t="n">
        <x:f>SUM(F73:N73)</x:f>
        <x:v>0</x:v>
      </x:c>
      <x:c r="P73" s="12" t="str">
        <x:f>IF(O73="","",IF(O73&lt;=14,"Tier 1 - Minimal",IF(O73&lt;=21,"Tier 2 - Limited",IF(O73&lt;=28,"Tier 3 - High","Tier 4 - Critical"))))</x:f>
      </x:c>
      <x:c r="Q73" s="12"/>
      <x:c r="R73" s="12" t="str">
        <x:f>IF(O73="","",IF(Q73="Yes - Tier 4","Tier 4 - Critical",IF(Q73="Yes - Tier 3",IF(O73&lt;=28,"Tier 3 - High",P73),P73)))</x:f>
      </x:c>
      <x:c r="S73" s="12"/>
      <x:c r="T73" s="12"/>
      <x:c r="U73" s="12"/>
      <x:c r="V73" s="12"/>
      <x:c r="W73" s="12" t="str">
        <x:f>IF(V73="","",IF(V73&lt;=14,"Tier 1 - Minimal",IF(V73&lt;=21,"Tier 2 - Limited",IF(V73&lt;=28,"Tier 3 - High","Tier 4 - Critical"))))</x:f>
      </x:c>
      <x:c r="X73" s="12"/>
      <x:c r="Y73" s="12"/>
      <x:c r="Z73" s="14"/>
      <x:c r="AA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 t="n">
        <x:f>SUM(F74:N74)</x:f>
        <x:v>0</x:v>
      </x:c>
      <x:c r="P74" s="12" t="str">
        <x:f>IF(O74="","",IF(O74&lt;=14,"Tier 1 - Minimal",IF(O74&lt;=21,"Tier 2 - Limited",IF(O74&lt;=28,"Tier 3 - High","Tier 4 - Critical"))))</x:f>
      </x:c>
      <x:c r="Q74" s="12"/>
      <x:c r="R74" s="12" t="str">
        <x:f>IF(O74="","",IF(Q74="Yes - Tier 4","Tier 4 - Critical",IF(Q74="Yes - Tier 3",IF(O74&lt;=28,"Tier 3 - High",P74),P74)))</x:f>
      </x:c>
      <x:c r="S74" s="12"/>
      <x:c r="T74" s="12"/>
      <x:c r="U74" s="12"/>
      <x:c r="V74" s="12"/>
      <x:c r="W74" s="12" t="str">
        <x:f>IF(V74="","",IF(V74&lt;=14,"Tier 1 - Minimal",IF(V74&lt;=21,"Tier 2 - Limited",IF(V74&lt;=28,"Tier 3 - High","Tier 4 - Critical"))))</x:f>
      </x:c>
      <x:c r="X74" s="12"/>
      <x:c r="Y74" s="12"/>
      <x:c r="Z74" s="14"/>
      <x:c r="AA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 t="n">
        <x:f>SUM(F75:N75)</x:f>
        <x:v>0</x:v>
      </x:c>
      <x:c r="P75" s="12" t="str">
        <x:f>IF(O75="","",IF(O75&lt;=14,"Tier 1 - Minimal",IF(O75&lt;=21,"Tier 2 - Limited",IF(O75&lt;=28,"Tier 3 - High","Tier 4 - Critical"))))</x:f>
      </x:c>
      <x:c r="Q75" s="12"/>
      <x:c r="R75" s="12" t="str">
        <x:f>IF(O75="","",IF(Q75="Yes - Tier 4","Tier 4 - Critical",IF(Q75="Yes - Tier 3",IF(O75&lt;=28,"Tier 3 - High",P75),P75)))</x:f>
      </x:c>
      <x:c r="S75" s="12"/>
      <x:c r="T75" s="12"/>
      <x:c r="U75" s="12"/>
      <x:c r="V75" s="12"/>
      <x:c r="W75" s="12" t="str">
        <x:f>IF(V75="","",IF(V75&lt;=14,"Tier 1 - Minimal",IF(V75&lt;=21,"Tier 2 - Limited",IF(V75&lt;=28,"Tier 3 - High","Tier 4 - Critical"))))</x:f>
      </x:c>
      <x:c r="X75" s="12"/>
      <x:c r="Y75" s="12"/>
      <x:c r="Z75" s="14"/>
      <x:c r="AA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 t="n">
        <x:f>SUM(F76:N76)</x:f>
        <x:v>0</x:v>
      </x:c>
      <x:c r="P76" s="12" t="str">
        <x:f>IF(O76="","",IF(O76&lt;=14,"Tier 1 - Minimal",IF(O76&lt;=21,"Tier 2 - Limited",IF(O76&lt;=28,"Tier 3 - High","Tier 4 - Critical"))))</x:f>
      </x:c>
      <x:c r="Q76" s="12"/>
      <x:c r="R76" s="12" t="str">
        <x:f>IF(O76="","",IF(Q76="Yes - Tier 4","Tier 4 - Critical",IF(Q76="Yes - Tier 3",IF(O76&lt;=28,"Tier 3 - High",P76),P76)))</x:f>
      </x:c>
      <x:c r="S76" s="12"/>
      <x:c r="T76" s="12"/>
      <x:c r="U76" s="12"/>
      <x:c r="V76" s="12"/>
      <x:c r="W76" s="12" t="str">
        <x:f>IF(V76="","",IF(V76&lt;=14,"Tier 1 - Minimal",IF(V76&lt;=21,"Tier 2 - Limited",IF(V76&lt;=28,"Tier 3 - High","Tier 4 - Critical"))))</x:f>
      </x:c>
      <x:c r="X76" s="12"/>
      <x:c r="Y76" s="12"/>
      <x:c r="Z76" s="14"/>
      <x:c r="AA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 t="n">
        <x:f>SUM(F77:N77)</x:f>
        <x:v>0</x:v>
      </x:c>
      <x:c r="P77" s="12" t="str">
        <x:f>IF(O77="","",IF(O77&lt;=14,"Tier 1 - Minimal",IF(O77&lt;=21,"Tier 2 - Limited",IF(O77&lt;=28,"Tier 3 - High","Tier 4 - Critical"))))</x:f>
      </x:c>
      <x:c r="Q77" s="12"/>
      <x:c r="R77" s="12" t="str">
        <x:f>IF(O77="","",IF(Q77="Yes - Tier 4","Tier 4 - Critical",IF(Q77="Yes - Tier 3",IF(O77&lt;=28,"Tier 3 - High",P77),P77)))</x:f>
      </x:c>
      <x:c r="S77" s="12"/>
      <x:c r="T77" s="12"/>
      <x:c r="U77" s="12"/>
      <x:c r="V77" s="12"/>
      <x:c r="W77" s="12" t="str">
        <x:f>IF(V77="","",IF(V77&lt;=14,"Tier 1 - Minimal",IF(V77&lt;=21,"Tier 2 - Limited",IF(V77&lt;=28,"Tier 3 - High","Tier 4 - Critical"))))</x:f>
      </x:c>
      <x:c r="X77" s="12"/>
      <x:c r="Y77" s="12"/>
      <x:c r="Z77" s="14"/>
      <x:c r="AA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 t="n">
        <x:f>SUM(F78:N78)</x:f>
        <x:v>0</x:v>
      </x:c>
      <x:c r="P78" s="12" t="str">
        <x:f>IF(O78="","",IF(O78&lt;=14,"Tier 1 - Minimal",IF(O78&lt;=21,"Tier 2 - Limited",IF(O78&lt;=28,"Tier 3 - High","Tier 4 - Critical"))))</x:f>
      </x:c>
      <x:c r="Q78" s="12"/>
      <x:c r="R78" s="12" t="str">
        <x:f>IF(O78="","",IF(Q78="Yes - Tier 4","Tier 4 - Critical",IF(Q78="Yes - Tier 3",IF(O78&lt;=28,"Tier 3 - High",P78),P78)))</x:f>
      </x:c>
      <x:c r="S78" s="12"/>
      <x:c r="T78" s="12"/>
      <x:c r="U78" s="12"/>
      <x:c r="V78" s="12"/>
      <x:c r="W78" s="12" t="str">
        <x:f>IF(V78="","",IF(V78&lt;=14,"Tier 1 - Minimal",IF(V78&lt;=21,"Tier 2 - Limited",IF(V78&lt;=28,"Tier 3 - High","Tier 4 - Critical"))))</x:f>
      </x:c>
      <x:c r="X78" s="12"/>
      <x:c r="Y78" s="12"/>
      <x:c r="Z78" s="14"/>
      <x:c r="AA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 t="n">
        <x:f>SUM(F79:N79)</x:f>
        <x:v>0</x:v>
      </x:c>
      <x:c r="P79" s="12" t="str">
        <x:f>IF(O79="","",IF(O79&lt;=14,"Tier 1 - Minimal",IF(O79&lt;=21,"Tier 2 - Limited",IF(O79&lt;=28,"Tier 3 - High","Tier 4 - Critical"))))</x:f>
      </x:c>
      <x:c r="Q79" s="12"/>
      <x:c r="R79" s="12" t="str">
        <x:f>IF(O79="","",IF(Q79="Yes - Tier 4","Tier 4 - Critical",IF(Q79="Yes - Tier 3",IF(O79&lt;=28,"Tier 3 - High",P79),P79)))</x:f>
      </x:c>
      <x:c r="S79" s="12"/>
      <x:c r="T79" s="12"/>
      <x:c r="U79" s="12"/>
      <x:c r="V79" s="12"/>
      <x:c r="W79" s="12" t="str">
        <x:f>IF(V79="","",IF(V79&lt;=14,"Tier 1 - Minimal",IF(V79&lt;=21,"Tier 2 - Limited",IF(V79&lt;=28,"Tier 3 - High","Tier 4 - Critical"))))</x:f>
      </x:c>
      <x:c r="X79" s="12"/>
      <x:c r="Y79" s="12"/>
      <x:c r="Z79" s="14"/>
      <x:c r="AA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 t="n">
        <x:f>SUM(F80:N80)</x:f>
        <x:v>0</x:v>
      </x:c>
      <x:c r="P80" s="12" t="str">
        <x:f>IF(O80="","",IF(O80&lt;=14,"Tier 1 - Minimal",IF(O80&lt;=21,"Tier 2 - Limited",IF(O80&lt;=28,"Tier 3 - High","Tier 4 - Critical"))))</x:f>
      </x:c>
      <x:c r="Q80" s="12"/>
      <x:c r="R80" s="12" t="str">
        <x:f>IF(O80="","",IF(Q80="Yes - Tier 4","Tier 4 - Critical",IF(Q80="Yes - Tier 3",IF(O80&lt;=28,"Tier 3 - High",P80),P80)))</x:f>
      </x:c>
      <x:c r="S80" s="12"/>
      <x:c r="T80" s="12"/>
      <x:c r="U80" s="12"/>
      <x:c r="V80" s="12"/>
      <x:c r="W80" s="12" t="str">
        <x:f>IF(V80="","",IF(V80&lt;=14,"Tier 1 - Minimal",IF(V80&lt;=21,"Tier 2 - Limited",IF(V80&lt;=28,"Tier 3 - High","Tier 4 - Critical"))))</x:f>
      </x:c>
      <x:c r="X80" s="12"/>
      <x:c r="Y80" s="12"/>
      <x:c r="Z80" s="14"/>
      <x:c r="AA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 t="n">
        <x:f>SUM(F81:N81)</x:f>
        <x:v>0</x:v>
      </x:c>
      <x:c r="P81" s="12" t="str">
        <x:f>IF(O81="","",IF(O81&lt;=14,"Tier 1 - Minimal",IF(O81&lt;=21,"Tier 2 - Limited",IF(O81&lt;=28,"Tier 3 - High","Tier 4 - Critical"))))</x:f>
      </x:c>
      <x:c r="Q81" s="12"/>
      <x:c r="R81" s="12" t="str">
        <x:f>IF(O81="","",IF(Q81="Yes - Tier 4","Tier 4 - Critical",IF(Q81="Yes - Tier 3",IF(O81&lt;=28,"Tier 3 - High",P81),P81)))</x:f>
      </x:c>
      <x:c r="S81" s="12"/>
      <x:c r="T81" s="12"/>
      <x:c r="U81" s="12"/>
      <x:c r="V81" s="12"/>
      <x:c r="W81" s="12" t="str">
        <x:f>IF(V81="","",IF(V81&lt;=14,"Tier 1 - Minimal",IF(V81&lt;=21,"Tier 2 - Limited",IF(V81&lt;=28,"Tier 3 - High","Tier 4 - Critical"))))</x:f>
      </x:c>
      <x:c r="X81" s="12"/>
      <x:c r="Y81" s="12"/>
      <x:c r="Z81" s="14"/>
      <x:c r="AA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 t="n">
        <x:f>SUM(F82:N82)</x:f>
        <x:v>0</x:v>
      </x:c>
      <x:c r="P82" s="12" t="str">
        <x:f>IF(O82="","",IF(O82&lt;=14,"Tier 1 - Minimal",IF(O82&lt;=21,"Tier 2 - Limited",IF(O82&lt;=28,"Tier 3 - High","Tier 4 - Critical"))))</x:f>
      </x:c>
      <x:c r="Q82" s="12"/>
      <x:c r="R82" s="12" t="str">
        <x:f>IF(O82="","",IF(Q82="Yes - Tier 4","Tier 4 - Critical",IF(Q82="Yes - Tier 3",IF(O82&lt;=28,"Tier 3 - High",P82),P82)))</x:f>
      </x:c>
      <x:c r="S82" s="12"/>
      <x:c r="T82" s="12"/>
      <x:c r="U82" s="12"/>
      <x:c r="V82" s="12"/>
      <x:c r="W82" s="12" t="str">
        <x:f>IF(V82="","",IF(V82&lt;=14,"Tier 1 - Minimal",IF(V82&lt;=21,"Tier 2 - Limited",IF(V82&lt;=28,"Tier 3 - High","Tier 4 - Critical"))))</x:f>
      </x:c>
      <x:c r="X82" s="12"/>
      <x:c r="Y82" s="12"/>
      <x:c r="Z82" s="14"/>
      <x:c r="AA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 t="n">
        <x:f>SUM(F83:N83)</x:f>
        <x:v>0</x:v>
      </x:c>
      <x:c r="P83" s="12" t="str">
        <x:f>IF(O83="","",IF(O83&lt;=14,"Tier 1 - Minimal",IF(O83&lt;=21,"Tier 2 - Limited",IF(O83&lt;=28,"Tier 3 - High","Tier 4 - Critical"))))</x:f>
      </x:c>
      <x:c r="Q83" s="12"/>
      <x:c r="R83" s="12" t="str">
        <x:f>IF(O83="","",IF(Q83="Yes - Tier 4","Tier 4 - Critical",IF(Q83="Yes - Tier 3",IF(O83&lt;=28,"Tier 3 - High",P83),P83)))</x:f>
      </x:c>
      <x:c r="S83" s="12"/>
      <x:c r="T83" s="12"/>
      <x:c r="U83" s="12"/>
      <x:c r="V83" s="12"/>
      <x:c r="W83" s="12" t="str">
        <x:f>IF(V83="","",IF(V83&lt;=14,"Tier 1 - Minimal",IF(V83&lt;=21,"Tier 2 - Limited",IF(V83&lt;=28,"Tier 3 - High","Tier 4 - Critical"))))</x:f>
      </x:c>
      <x:c r="X83" s="12"/>
      <x:c r="Y83" s="12"/>
      <x:c r="Z83" s="14"/>
      <x:c r="AA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 t="n">
        <x:f>SUM(F84:N84)</x:f>
        <x:v>0</x:v>
      </x:c>
      <x:c r="P84" s="12" t="str">
        <x:f>IF(O84="","",IF(O84&lt;=14,"Tier 1 - Minimal",IF(O84&lt;=21,"Tier 2 - Limited",IF(O84&lt;=28,"Tier 3 - High","Tier 4 - Critical"))))</x:f>
      </x:c>
      <x:c r="Q84" s="12"/>
      <x:c r="R84" s="12" t="str">
        <x:f>IF(O84="","",IF(Q84="Yes - Tier 4","Tier 4 - Critical",IF(Q84="Yes - Tier 3",IF(O84&lt;=28,"Tier 3 - High",P84),P84)))</x:f>
      </x:c>
      <x:c r="S84" s="12"/>
      <x:c r="T84" s="12"/>
      <x:c r="U84" s="12"/>
      <x:c r="V84" s="12"/>
      <x:c r="W84" s="12" t="str">
        <x:f>IF(V84="","",IF(V84&lt;=14,"Tier 1 - Minimal",IF(V84&lt;=21,"Tier 2 - Limited",IF(V84&lt;=28,"Tier 3 - High","Tier 4 - Critical"))))</x:f>
      </x:c>
      <x:c r="X84" s="12"/>
      <x:c r="Y84" s="12"/>
      <x:c r="Z84" s="14"/>
      <x:c r="AA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 t="n">
        <x:f>SUM(F85:N85)</x:f>
        <x:v>0</x:v>
      </x:c>
      <x:c r="P85" s="12" t="str">
        <x:f>IF(O85="","",IF(O85&lt;=14,"Tier 1 - Minimal",IF(O85&lt;=21,"Tier 2 - Limited",IF(O85&lt;=28,"Tier 3 - High","Tier 4 - Critical"))))</x:f>
      </x:c>
      <x:c r="Q85" s="12"/>
      <x:c r="R85" s="12" t="str">
        <x:f>IF(O85="","",IF(Q85="Yes - Tier 4","Tier 4 - Critical",IF(Q85="Yes - Tier 3",IF(O85&lt;=28,"Tier 3 - High",P85),P85)))</x:f>
      </x:c>
      <x:c r="S85" s="12"/>
      <x:c r="T85" s="12"/>
      <x:c r="U85" s="12"/>
      <x:c r="V85" s="12"/>
      <x:c r="W85" s="12" t="str">
        <x:f>IF(V85="","",IF(V85&lt;=14,"Tier 1 - Minimal",IF(V85&lt;=21,"Tier 2 - Limited",IF(V85&lt;=28,"Tier 3 - High","Tier 4 - Critical"))))</x:f>
      </x:c>
      <x:c r="X85" s="12"/>
      <x:c r="Y85" s="12"/>
      <x:c r="Z85" s="14"/>
      <x:c r="AA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 t="n">
        <x:f>SUM(F86:N86)</x:f>
        <x:v>0</x:v>
      </x:c>
      <x:c r="P86" s="12" t="str">
        <x:f>IF(O86="","",IF(O86&lt;=14,"Tier 1 - Minimal",IF(O86&lt;=21,"Tier 2 - Limited",IF(O86&lt;=28,"Tier 3 - High","Tier 4 - Critical"))))</x:f>
      </x:c>
      <x:c r="Q86" s="12"/>
      <x:c r="R86" s="12" t="str">
        <x:f>IF(O86="","",IF(Q86="Yes - Tier 4","Tier 4 - Critical",IF(Q86="Yes - Tier 3",IF(O86&lt;=28,"Tier 3 - High",P86),P86)))</x:f>
      </x:c>
      <x:c r="S86" s="12"/>
      <x:c r="T86" s="12"/>
      <x:c r="U86" s="12"/>
      <x:c r="V86" s="12"/>
      <x:c r="W86" s="12" t="str">
        <x:f>IF(V86="","",IF(V86&lt;=14,"Tier 1 - Minimal",IF(V86&lt;=21,"Tier 2 - Limited",IF(V86&lt;=28,"Tier 3 - High","Tier 4 - Critical"))))</x:f>
      </x:c>
      <x:c r="X86" s="12"/>
      <x:c r="Y86" s="12"/>
      <x:c r="Z86" s="14"/>
      <x:c r="AA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 t="n">
        <x:f>SUM(F87:N87)</x:f>
        <x:v>0</x:v>
      </x:c>
      <x:c r="P87" s="12" t="str">
        <x:f>IF(O87="","",IF(O87&lt;=14,"Tier 1 - Minimal",IF(O87&lt;=21,"Tier 2 - Limited",IF(O87&lt;=28,"Tier 3 - High","Tier 4 - Critical"))))</x:f>
      </x:c>
      <x:c r="Q87" s="12"/>
      <x:c r="R87" s="12" t="str">
        <x:f>IF(O87="","",IF(Q87="Yes - Tier 4","Tier 4 - Critical",IF(Q87="Yes - Tier 3",IF(O87&lt;=28,"Tier 3 - High",P87),P87)))</x:f>
      </x:c>
      <x:c r="S87" s="12"/>
      <x:c r="T87" s="12"/>
      <x:c r="U87" s="12"/>
      <x:c r="V87" s="12"/>
      <x:c r="W87" s="12" t="str">
        <x:f>IF(V87="","",IF(V87&lt;=14,"Tier 1 - Minimal",IF(V87&lt;=21,"Tier 2 - Limited",IF(V87&lt;=28,"Tier 3 - High","Tier 4 - Critical"))))</x:f>
      </x:c>
      <x:c r="X87" s="12"/>
      <x:c r="Y87" s="12"/>
      <x:c r="Z87" s="14"/>
      <x:c r="AA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 t="n">
        <x:f>SUM(F88:N88)</x:f>
        <x:v>0</x:v>
      </x:c>
      <x:c r="P88" s="12" t="str">
        <x:f>IF(O88="","",IF(O88&lt;=14,"Tier 1 - Minimal",IF(O88&lt;=21,"Tier 2 - Limited",IF(O88&lt;=28,"Tier 3 - High","Tier 4 - Critical"))))</x:f>
      </x:c>
      <x:c r="Q88" s="12"/>
      <x:c r="R88" s="12" t="str">
        <x:f>IF(O88="","",IF(Q88="Yes - Tier 4","Tier 4 - Critical",IF(Q88="Yes - Tier 3",IF(O88&lt;=28,"Tier 3 - High",P88),P88)))</x:f>
      </x:c>
      <x:c r="S88" s="12"/>
      <x:c r="T88" s="12"/>
      <x:c r="U88" s="12"/>
      <x:c r="V88" s="12"/>
      <x:c r="W88" s="12" t="str">
        <x:f>IF(V88="","",IF(V88&lt;=14,"Tier 1 - Minimal",IF(V88&lt;=21,"Tier 2 - Limited",IF(V88&lt;=28,"Tier 3 - High","Tier 4 - Critical"))))</x:f>
      </x:c>
      <x:c r="X88" s="12"/>
      <x:c r="Y88" s="12"/>
      <x:c r="Z88" s="14"/>
      <x:c r="AA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 t="n">
        <x:f>SUM(F89:N89)</x:f>
        <x:v>0</x:v>
      </x:c>
      <x:c r="P89" s="12" t="str">
        <x:f>IF(O89="","",IF(O89&lt;=14,"Tier 1 - Minimal",IF(O89&lt;=21,"Tier 2 - Limited",IF(O89&lt;=28,"Tier 3 - High","Tier 4 - Critical"))))</x:f>
      </x:c>
      <x:c r="Q89" s="12"/>
      <x:c r="R89" s="12" t="str">
        <x:f>IF(O89="","",IF(Q89="Yes - Tier 4","Tier 4 - Critical",IF(Q89="Yes - Tier 3",IF(O89&lt;=28,"Tier 3 - High",P89),P89)))</x:f>
      </x:c>
      <x:c r="S89" s="12"/>
      <x:c r="T89" s="12"/>
      <x:c r="U89" s="12"/>
      <x:c r="V89" s="12"/>
      <x:c r="W89" s="12" t="str">
        <x:f>IF(V89="","",IF(V89&lt;=14,"Tier 1 - Minimal",IF(V89&lt;=21,"Tier 2 - Limited",IF(V89&lt;=28,"Tier 3 - High","Tier 4 - Critical"))))</x:f>
      </x:c>
      <x:c r="X89" s="12"/>
      <x:c r="Y89" s="12"/>
      <x:c r="Z89" s="14"/>
      <x:c r="AA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 t="n">
        <x:f>SUM(F90:N90)</x:f>
        <x:v>0</x:v>
      </x:c>
      <x:c r="P90" s="12" t="str">
        <x:f>IF(O90="","",IF(O90&lt;=14,"Tier 1 - Minimal",IF(O90&lt;=21,"Tier 2 - Limited",IF(O90&lt;=28,"Tier 3 - High","Tier 4 - Critical"))))</x:f>
      </x:c>
      <x:c r="Q90" s="12"/>
      <x:c r="R90" s="12" t="str">
        <x:f>IF(O90="","",IF(Q90="Yes - Tier 4","Tier 4 - Critical",IF(Q90="Yes - Tier 3",IF(O90&lt;=28,"Tier 3 - High",P90),P90)))</x:f>
      </x:c>
      <x:c r="S90" s="12"/>
      <x:c r="T90" s="12"/>
      <x:c r="U90" s="12"/>
      <x:c r="V90" s="12"/>
      <x:c r="W90" s="12" t="str">
        <x:f>IF(V90="","",IF(V90&lt;=14,"Tier 1 - Minimal",IF(V90&lt;=21,"Tier 2 - Limited",IF(V90&lt;=28,"Tier 3 - High","Tier 4 - Critical"))))</x:f>
      </x:c>
      <x:c r="X90" s="12"/>
      <x:c r="Y90" s="12"/>
      <x:c r="Z90" s="14"/>
      <x:c r="AA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 t="n">
        <x:f>SUM(F91:N91)</x:f>
        <x:v>0</x:v>
      </x:c>
      <x:c r="P91" s="12" t="str">
        <x:f>IF(O91="","",IF(O91&lt;=14,"Tier 1 - Minimal",IF(O91&lt;=21,"Tier 2 - Limited",IF(O91&lt;=28,"Tier 3 - High","Tier 4 - Critical"))))</x:f>
      </x:c>
      <x:c r="Q91" s="12"/>
      <x:c r="R91" s="12" t="str">
        <x:f>IF(O91="","",IF(Q91="Yes - Tier 4","Tier 4 - Critical",IF(Q91="Yes - Tier 3",IF(O91&lt;=28,"Tier 3 - High",P91),P91)))</x:f>
      </x:c>
      <x:c r="S91" s="12"/>
      <x:c r="T91" s="12"/>
      <x:c r="U91" s="12"/>
      <x:c r="V91" s="12"/>
      <x:c r="W91" s="12" t="str">
        <x:f>IF(V91="","",IF(V91&lt;=14,"Tier 1 - Minimal",IF(V91&lt;=21,"Tier 2 - Limited",IF(V91&lt;=28,"Tier 3 - High","Tier 4 - Critical"))))</x:f>
      </x:c>
      <x:c r="X91" s="12"/>
      <x:c r="Y91" s="12"/>
      <x:c r="Z91" s="14"/>
      <x:c r="AA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 t="n">
        <x:f>SUM(F92:N92)</x:f>
        <x:v>0</x:v>
      </x:c>
      <x:c r="P92" s="12" t="str">
        <x:f>IF(O92="","",IF(O92&lt;=14,"Tier 1 - Minimal",IF(O92&lt;=21,"Tier 2 - Limited",IF(O92&lt;=28,"Tier 3 - High","Tier 4 - Critical"))))</x:f>
      </x:c>
      <x:c r="Q92" s="12"/>
      <x:c r="R92" s="12" t="str">
        <x:f>IF(O92="","",IF(Q92="Yes - Tier 4","Tier 4 - Critical",IF(Q92="Yes - Tier 3",IF(O92&lt;=28,"Tier 3 - High",P92),P92)))</x:f>
      </x:c>
      <x:c r="S92" s="12"/>
      <x:c r="T92" s="12"/>
      <x:c r="U92" s="12"/>
      <x:c r="V92" s="12"/>
      <x:c r="W92" s="12" t="str">
        <x:f>IF(V92="","",IF(V92&lt;=14,"Tier 1 - Minimal",IF(V92&lt;=21,"Tier 2 - Limited",IF(V92&lt;=28,"Tier 3 - High","Tier 4 - Critical"))))</x:f>
      </x:c>
      <x:c r="X92" s="12"/>
      <x:c r="Y92" s="12"/>
      <x:c r="Z92" s="14"/>
      <x:c r="AA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 t="n">
        <x:f>SUM(F93:N93)</x:f>
        <x:v>0</x:v>
      </x:c>
      <x:c r="P93" s="12" t="str">
        <x:f>IF(O93="","",IF(O93&lt;=14,"Tier 1 - Minimal",IF(O93&lt;=21,"Tier 2 - Limited",IF(O93&lt;=28,"Tier 3 - High","Tier 4 - Critical"))))</x:f>
      </x:c>
      <x:c r="Q93" s="12"/>
      <x:c r="R93" s="12" t="str">
        <x:f>IF(O93="","",IF(Q93="Yes - Tier 4","Tier 4 - Critical",IF(Q93="Yes - Tier 3",IF(O93&lt;=28,"Tier 3 - High",P93),P93)))</x:f>
      </x:c>
      <x:c r="S93" s="12"/>
      <x:c r="T93" s="12"/>
      <x:c r="U93" s="12"/>
      <x:c r="V93" s="12"/>
      <x:c r="W93" s="12" t="str">
        <x:f>IF(V93="","",IF(V93&lt;=14,"Tier 1 - Minimal",IF(V93&lt;=21,"Tier 2 - Limited",IF(V93&lt;=28,"Tier 3 - High","Tier 4 - Critical"))))</x:f>
      </x:c>
      <x:c r="X93" s="12"/>
      <x:c r="Y93" s="12"/>
      <x:c r="Z93" s="14"/>
      <x:c r="AA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 t="n">
        <x:f>SUM(F94:N94)</x:f>
        <x:v>0</x:v>
      </x:c>
      <x:c r="P94" s="12" t="str">
        <x:f>IF(O94="","",IF(O94&lt;=14,"Tier 1 - Minimal",IF(O94&lt;=21,"Tier 2 - Limited",IF(O94&lt;=28,"Tier 3 - High","Tier 4 - Critical"))))</x:f>
      </x:c>
      <x:c r="Q94" s="12"/>
      <x:c r="R94" s="12" t="str">
        <x:f>IF(O94="","",IF(Q94="Yes - Tier 4","Tier 4 - Critical",IF(Q94="Yes - Tier 3",IF(O94&lt;=28,"Tier 3 - High",P94),P94)))</x:f>
      </x:c>
      <x:c r="S94" s="12"/>
      <x:c r="T94" s="12"/>
      <x:c r="U94" s="12"/>
      <x:c r="V94" s="12"/>
      <x:c r="W94" s="12" t="str">
        <x:f>IF(V94="","",IF(V94&lt;=14,"Tier 1 - Minimal",IF(V94&lt;=21,"Tier 2 - Limited",IF(V94&lt;=28,"Tier 3 - High","Tier 4 - Critical"))))</x:f>
      </x:c>
      <x:c r="X94" s="12"/>
      <x:c r="Y94" s="12"/>
      <x:c r="Z94" s="14"/>
      <x:c r="AA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 t="n">
        <x:f>SUM(F95:N95)</x:f>
        <x:v>0</x:v>
      </x:c>
      <x:c r="P95" s="12" t="str">
        <x:f>IF(O95="","",IF(O95&lt;=14,"Tier 1 - Minimal",IF(O95&lt;=21,"Tier 2 - Limited",IF(O95&lt;=28,"Tier 3 - High","Tier 4 - Critical"))))</x:f>
      </x:c>
      <x:c r="Q95" s="12"/>
      <x:c r="R95" s="12" t="str">
        <x:f>IF(O95="","",IF(Q95="Yes - Tier 4","Tier 4 - Critical",IF(Q95="Yes - Tier 3",IF(O95&lt;=28,"Tier 3 - High",P95),P95)))</x:f>
      </x:c>
      <x:c r="S95" s="12"/>
      <x:c r="T95" s="12"/>
      <x:c r="U95" s="12"/>
      <x:c r="V95" s="12"/>
      <x:c r="W95" s="12" t="str">
        <x:f>IF(V95="","",IF(V95&lt;=14,"Tier 1 - Minimal",IF(V95&lt;=21,"Tier 2 - Limited",IF(V95&lt;=28,"Tier 3 - High","Tier 4 - Critical"))))</x:f>
      </x:c>
      <x:c r="X95" s="12"/>
      <x:c r="Y95" s="12"/>
      <x:c r="Z95" s="14"/>
      <x:c r="AA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 t="n">
        <x:f>SUM(F96:N96)</x:f>
        <x:v>0</x:v>
      </x:c>
      <x:c r="P96" s="12" t="str">
        <x:f>IF(O96="","",IF(O96&lt;=14,"Tier 1 - Minimal",IF(O96&lt;=21,"Tier 2 - Limited",IF(O96&lt;=28,"Tier 3 - High","Tier 4 - Critical"))))</x:f>
      </x:c>
      <x:c r="Q96" s="12"/>
      <x:c r="R96" s="12" t="str">
        <x:f>IF(O96="","",IF(Q96="Yes - Tier 4","Tier 4 - Critical",IF(Q96="Yes - Tier 3",IF(O96&lt;=28,"Tier 3 - High",P96),P96)))</x:f>
      </x:c>
      <x:c r="S96" s="12"/>
      <x:c r="T96" s="12"/>
      <x:c r="U96" s="12"/>
      <x:c r="V96" s="12"/>
      <x:c r="W96" s="12" t="str">
        <x:f>IF(V96="","",IF(V96&lt;=14,"Tier 1 - Minimal",IF(V96&lt;=21,"Tier 2 - Limited",IF(V96&lt;=28,"Tier 3 - High","Tier 4 - Critical"))))</x:f>
      </x:c>
      <x:c r="X96" s="12"/>
      <x:c r="Y96" s="12"/>
      <x:c r="Z96" s="14"/>
      <x:c r="AA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 t="n">
        <x:f>SUM(F97:N97)</x:f>
        <x:v>0</x:v>
      </x:c>
      <x:c r="P97" s="12" t="str">
        <x:f>IF(O97="","",IF(O97&lt;=14,"Tier 1 - Minimal",IF(O97&lt;=21,"Tier 2 - Limited",IF(O97&lt;=28,"Tier 3 - High","Tier 4 - Critical"))))</x:f>
      </x:c>
      <x:c r="Q97" s="12"/>
      <x:c r="R97" s="12" t="str">
        <x:f>IF(O97="","",IF(Q97="Yes - Tier 4","Tier 4 - Critical",IF(Q97="Yes - Tier 3",IF(O97&lt;=28,"Tier 3 - High",P97),P97)))</x:f>
      </x:c>
      <x:c r="S97" s="12"/>
      <x:c r="T97" s="12"/>
      <x:c r="U97" s="12"/>
      <x:c r="V97" s="12"/>
      <x:c r="W97" s="12" t="str">
        <x:f>IF(V97="","",IF(V97&lt;=14,"Tier 1 - Minimal",IF(V97&lt;=21,"Tier 2 - Limited",IF(V97&lt;=28,"Tier 3 - High","Tier 4 - Critical"))))</x:f>
      </x:c>
      <x:c r="X97" s="12"/>
      <x:c r="Y97" s="12"/>
      <x:c r="Z97" s="14"/>
      <x:c r="AA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 t="n">
        <x:f>SUM(F98:N98)</x:f>
        <x:v>0</x:v>
      </x:c>
      <x:c r="P98" s="12" t="str">
        <x:f>IF(O98="","",IF(O98&lt;=14,"Tier 1 - Minimal",IF(O98&lt;=21,"Tier 2 - Limited",IF(O98&lt;=28,"Tier 3 - High","Tier 4 - Critical"))))</x:f>
      </x:c>
      <x:c r="Q98" s="12"/>
      <x:c r="R98" s="12" t="str">
        <x:f>IF(O98="","",IF(Q98="Yes - Tier 4","Tier 4 - Critical",IF(Q98="Yes - Tier 3",IF(O98&lt;=28,"Tier 3 - High",P98),P98)))</x:f>
      </x:c>
      <x:c r="S98" s="12"/>
      <x:c r="T98" s="12"/>
      <x:c r="U98" s="12"/>
      <x:c r="V98" s="12"/>
      <x:c r="W98" s="12" t="str">
        <x:f>IF(V98="","",IF(V98&lt;=14,"Tier 1 - Minimal",IF(V98&lt;=21,"Tier 2 - Limited",IF(V98&lt;=28,"Tier 3 - High","Tier 4 - Critical"))))</x:f>
      </x:c>
      <x:c r="X98" s="12"/>
      <x:c r="Y98" s="12"/>
      <x:c r="Z98" s="14"/>
      <x:c r="AA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 t="n">
        <x:f>SUM(F99:N99)</x:f>
        <x:v>0</x:v>
      </x:c>
      <x:c r="P99" s="12" t="str">
        <x:f>IF(O99="","",IF(O99&lt;=14,"Tier 1 - Minimal",IF(O99&lt;=21,"Tier 2 - Limited",IF(O99&lt;=28,"Tier 3 - High","Tier 4 - Critical"))))</x:f>
      </x:c>
      <x:c r="Q99" s="12"/>
      <x:c r="R99" s="12" t="str">
        <x:f>IF(O99="","",IF(Q99="Yes - Tier 4","Tier 4 - Critical",IF(Q99="Yes - Tier 3",IF(O99&lt;=28,"Tier 3 - High",P99),P99)))</x:f>
      </x:c>
      <x:c r="S99" s="12"/>
      <x:c r="T99" s="12"/>
      <x:c r="U99" s="12"/>
      <x:c r="V99" s="12"/>
      <x:c r="W99" s="12" t="str">
        <x:f>IF(V99="","",IF(V99&lt;=14,"Tier 1 - Minimal",IF(V99&lt;=21,"Tier 2 - Limited",IF(V99&lt;=28,"Tier 3 - High","Tier 4 - Critical"))))</x:f>
      </x:c>
      <x:c r="X99" s="12"/>
      <x:c r="Y99" s="12"/>
      <x:c r="Z99" s="14"/>
      <x:c r="AA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 t="n">
        <x:f>SUM(F100:N100)</x:f>
        <x:v>0</x:v>
      </x:c>
      <x:c r="P100" s="12" t="str">
        <x:f>IF(O100="","",IF(O100&lt;=14,"Tier 1 - Minimal",IF(O100&lt;=21,"Tier 2 - Limited",IF(O100&lt;=28,"Tier 3 - High","Tier 4 - Critical"))))</x:f>
      </x:c>
      <x:c r="Q100" s="12"/>
      <x:c r="R100" s="12" t="str">
        <x:f>IF(O100="","",IF(Q100="Yes - Tier 4","Tier 4 - Critical",IF(Q100="Yes - Tier 3",IF(O100&lt;=28,"Tier 3 - High",P100),P100)))</x:f>
      </x:c>
      <x:c r="S100" s="12"/>
      <x:c r="T100" s="12"/>
      <x:c r="U100" s="12"/>
      <x:c r="V100" s="12"/>
      <x:c r="W100" s="12" t="str">
        <x:f>IF(V100="","",IF(V100&lt;=14,"Tier 1 - Minimal",IF(V100&lt;=21,"Tier 2 - Limited",IF(V100&lt;=28,"Tier 3 - High","Tier 4 - Critical"))))</x:f>
      </x:c>
      <x:c r="X100" s="12"/>
      <x:c r="Y100" s="12"/>
      <x:c r="Z100" s="14"/>
      <x:c r="AA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 t="n">
        <x:f>SUM(F101:N101)</x:f>
        <x:v>0</x:v>
      </x:c>
      <x:c r="P101" s="12" t="str">
        <x:f>IF(O101="","",IF(O101&lt;=14,"Tier 1 - Minimal",IF(O101&lt;=21,"Tier 2 - Limited",IF(O101&lt;=28,"Tier 3 - High","Tier 4 - Critical"))))</x:f>
      </x:c>
      <x:c r="Q101" s="12"/>
      <x:c r="R101" s="12" t="str">
        <x:f>IF(O101="","",IF(Q101="Yes - Tier 4","Tier 4 - Critical",IF(Q101="Yes - Tier 3",IF(O101&lt;=28,"Tier 3 - High",P101),P101)))</x:f>
      </x:c>
      <x:c r="S101" s="12"/>
      <x:c r="T101" s="12"/>
      <x:c r="U101" s="12"/>
      <x:c r="V101" s="12"/>
      <x:c r="W101" s="12" t="str">
        <x:f>IF(V101="","",IF(V101&lt;=14,"Tier 1 - Minimal",IF(V101&lt;=21,"Tier 2 - Limited",IF(V101&lt;=28,"Tier 3 - High","Tier 4 - Critical"))))</x:f>
      </x:c>
      <x:c r="X101" s="12"/>
      <x:c r="Y101" s="12"/>
      <x:c r="Z101" s="14"/>
      <x:c r="AA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 t="n">
        <x:f>SUM(F102:N102)</x:f>
        <x:v>0</x:v>
      </x:c>
      <x:c r="P102" s="12" t="str">
        <x:f>IF(O102="","",IF(O102&lt;=14,"Tier 1 - Minimal",IF(O102&lt;=21,"Tier 2 - Limited",IF(O102&lt;=28,"Tier 3 - High","Tier 4 - Critical"))))</x:f>
      </x:c>
      <x:c r="Q102" s="12"/>
      <x:c r="R102" s="12" t="str">
        <x:f>IF(O102="","",IF(Q102="Yes - Tier 4","Tier 4 - Critical",IF(Q102="Yes - Tier 3",IF(O102&lt;=28,"Tier 3 - High",P102),P102)))</x:f>
      </x:c>
      <x:c r="S102" s="12"/>
      <x:c r="T102" s="12"/>
      <x:c r="U102" s="12"/>
      <x:c r="V102" s="12"/>
      <x:c r="W102" s="12" t="str">
        <x:f>IF(V102="","",IF(V102&lt;=14,"Tier 1 - Minimal",IF(V102&lt;=21,"Tier 2 - Limited",IF(V102&lt;=28,"Tier 3 - High","Tier 4 - Critical"))))</x:f>
      </x:c>
      <x:c r="X102" s="12"/>
      <x:c r="Y102" s="12"/>
      <x:c r="Z102" s="14"/>
      <x:c r="AA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 t="n">
        <x:f>SUM(F103:N103)</x:f>
        <x:v>0</x:v>
      </x:c>
      <x:c r="P103" s="12" t="str">
        <x:f>IF(O103="","",IF(O103&lt;=14,"Tier 1 - Minimal",IF(O103&lt;=21,"Tier 2 - Limited",IF(O103&lt;=28,"Tier 3 - High","Tier 4 - Critical"))))</x:f>
      </x:c>
      <x:c r="Q103" s="12"/>
      <x:c r="R103" s="12" t="str">
        <x:f>IF(O103="","",IF(Q103="Yes - Tier 4","Tier 4 - Critical",IF(Q103="Yes - Tier 3",IF(O103&lt;=28,"Tier 3 - High",P103),P103)))</x:f>
      </x:c>
      <x:c r="S103" s="12"/>
      <x:c r="T103" s="12"/>
      <x:c r="U103" s="12"/>
      <x:c r="V103" s="12"/>
      <x:c r="W103" s="12" t="str">
        <x:f>IF(V103="","",IF(V103&lt;=14,"Tier 1 - Minimal",IF(V103&lt;=21,"Tier 2 - Limited",IF(V103&lt;=28,"Tier 3 - High","Tier 4 - Critical"))))</x:f>
      </x:c>
      <x:c r="X103" s="12"/>
      <x:c r="Y103" s="12"/>
      <x:c r="Z103" s="14"/>
      <x:c r="AA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 t="n">
        <x:f>SUM(F104:N104)</x:f>
        <x:v>0</x:v>
      </x:c>
      <x:c r="P104" s="12" t="str">
        <x:f>IF(O104="","",IF(O104&lt;=14,"Tier 1 - Minimal",IF(O104&lt;=21,"Tier 2 - Limited",IF(O104&lt;=28,"Tier 3 - High","Tier 4 - Critical"))))</x:f>
      </x:c>
      <x:c r="Q104" s="12"/>
      <x:c r="R104" s="12" t="str">
        <x:f>IF(O104="","",IF(Q104="Yes - Tier 4","Tier 4 - Critical",IF(Q104="Yes - Tier 3",IF(O104&lt;=28,"Tier 3 - High",P104),P104)))</x:f>
      </x:c>
      <x:c r="S104" s="12"/>
      <x:c r="T104" s="12"/>
      <x:c r="U104" s="12"/>
      <x:c r="V104" s="12"/>
      <x:c r="W104" s="12" t="str">
        <x:f>IF(V104="","",IF(V104&lt;=14,"Tier 1 - Minimal",IF(V104&lt;=21,"Tier 2 - Limited",IF(V104&lt;=28,"Tier 3 - High","Tier 4 - Critical"))))</x:f>
      </x:c>
      <x:c r="X104" s="12"/>
      <x:c r="Y104" s="12"/>
      <x:c r="Z104" s="14"/>
      <x:c r="AA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 t="n">
        <x:f>SUM(F105:N105)</x:f>
        <x:v>0</x:v>
      </x:c>
      <x:c r="P105" s="12" t="str">
        <x:f>IF(O105="","",IF(O105&lt;=14,"Tier 1 - Minimal",IF(O105&lt;=21,"Tier 2 - Limited",IF(O105&lt;=28,"Tier 3 - High","Tier 4 - Critical"))))</x:f>
      </x:c>
      <x:c r="Q105" s="12"/>
      <x:c r="R105" s="12" t="str">
        <x:f>IF(O105="","",IF(Q105="Yes - Tier 4","Tier 4 - Critical",IF(Q105="Yes - Tier 3",IF(O105&lt;=28,"Tier 3 - High",P105),P105)))</x:f>
      </x:c>
      <x:c r="S105" s="12"/>
      <x:c r="T105" s="12"/>
      <x:c r="U105" s="12"/>
      <x:c r="V105" s="12"/>
      <x:c r="W105" s="12" t="str">
        <x:f>IF(V105="","",IF(V105&lt;=14,"Tier 1 - Minimal",IF(V105&lt;=21,"Tier 2 - Limited",IF(V105&lt;=28,"Tier 3 - High","Tier 4 - Critical"))))</x:f>
      </x:c>
      <x:c r="X105" s="12"/>
      <x:c r="Y105" s="12"/>
      <x:c r="Z105" s="14"/>
      <x:c r="AA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 t="n">
        <x:f>SUM(F106:N106)</x:f>
        <x:v>0</x:v>
      </x:c>
      <x:c r="P106" s="12" t="str">
        <x:f>IF(O106="","",IF(O106&lt;=14,"Tier 1 - Minimal",IF(O106&lt;=21,"Tier 2 - Limited",IF(O106&lt;=28,"Tier 3 - High","Tier 4 - Critical"))))</x:f>
      </x:c>
      <x:c r="Q106" s="12"/>
      <x:c r="R106" s="12" t="str">
        <x:f>IF(O106="","",IF(Q106="Yes - Tier 4","Tier 4 - Critical",IF(Q106="Yes - Tier 3",IF(O106&lt;=28,"Tier 3 - High",P106),P106)))</x:f>
      </x:c>
      <x:c r="S106" s="12"/>
      <x:c r="T106" s="12"/>
      <x:c r="U106" s="12"/>
      <x:c r="V106" s="12"/>
      <x:c r="W106" s="12" t="str">
        <x:f>IF(V106="","",IF(V106&lt;=14,"Tier 1 - Minimal",IF(V106&lt;=21,"Tier 2 - Limited",IF(V106&lt;=28,"Tier 3 - High","Tier 4 - Critical"))))</x:f>
      </x:c>
      <x:c r="X106" s="12"/>
      <x:c r="Y106" s="12"/>
      <x:c r="Z106" s="14"/>
      <x:c r="AA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 t="n">
        <x:f>SUM(F107:N107)</x:f>
        <x:v>0</x:v>
      </x:c>
      <x:c r="P107" s="12" t="str">
        <x:f>IF(O107="","",IF(O107&lt;=14,"Tier 1 - Minimal",IF(O107&lt;=21,"Tier 2 - Limited",IF(O107&lt;=28,"Tier 3 - High","Tier 4 - Critical"))))</x:f>
      </x:c>
      <x:c r="Q107" s="12"/>
      <x:c r="R107" s="12" t="str">
        <x:f>IF(O107="","",IF(Q107="Yes - Tier 4","Tier 4 - Critical",IF(Q107="Yes - Tier 3",IF(O107&lt;=28,"Tier 3 - High",P107),P107)))</x:f>
      </x:c>
      <x:c r="S107" s="12"/>
      <x:c r="T107" s="12"/>
      <x:c r="U107" s="12"/>
      <x:c r="V107" s="12"/>
      <x:c r="W107" s="12" t="str">
        <x:f>IF(V107="","",IF(V107&lt;=14,"Tier 1 - Minimal",IF(V107&lt;=21,"Tier 2 - Limited",IF(V107&lt;=28,"Tier 3 - High","Tier 4 - Critical"))))</x:f>
      </x:c>
      <x:c r="X107" s="12"/>
      <x:c r="Y107" s="12"/>
      <x:c r="Z107" s="14"/>
      <x:c r="AA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 t="n">
        <x:f>SUM(F108:N108)</x:f>
        <x:v>0</x:v>
      </x:c>
      <x:c r="P108" s="12" t="str">
        <x:f>IF(O108="","",IF(O108&lt;=14,"Tier 1 - Minimal",IF(O108&lt;=21,"Tier 2 - Limited",IF(O108&lt;=28,"Tier 3 - High","Tier 4 - Critical"))))</x:f>
      </x:c>
      <x:c r="Q108" s="12"/>
      <x:c r="R108" s="12" t="str">
        <x:f>IF(O108="","",IF(Q108="Yes - Tier 4","Tier 4 - Critical",IF(Q108="Yes - Tier 3",IF(O108&lt;=28,"Tier 3 - High",P108),P108)))</x:f>
      </x:c>
      <x:c r="S108" s="12"/>
      <x:c r="T108" s="12"/>
      <x:c r="U108" s="12"/>
      <x:c r="V108" s="12"/>
      <x:c r="W108" s="12" t="str">
        <x:f>IF(V108="","",IF(V108&lt;=14,"Tier 1 - Minimal",IF(V108&lt;=21,"Tier 2 - Limited",IF(V108&lt;=28,"Tier 3 - High","Tier 4 - Critical"))))</x:f>
      </x:c>
      <x:c r="X108" s="12"/>
      <x:c r="Y108" s="12"/>
      <x:c r="Z108" s="14"/>
      <x:c r="AA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 t="n">
        <x:f>SUM(F109:N109)</x:f>
        <x:v>0</x:v>
      </x:c>
      <x:c r="P109" s="12" t="str">
        <x:f>IF(O109="","",IF(O109&lt;=14,"Tier 1 - Minimal",IF(O109&lt;=21,"Tier 2 - Limited",IF(O109&lt;=28,"Tier 3 - High","Tier 4 - Critical"))))</x:f>
      </x:c>
      <x:c r="Q109" s="12"/>
      <x:c r="R109" s="12" t="str">
        <x:f>IF(O109="","",IF(Q109="Yes - Tier 4","Tier 4 - Critical",IF(Q109="Yes - Tier 3",IF(O109&lt;=28,"Tier 3 - High",P109),P109)))</x:f>
      </x:c>
      <x:c r="S109" s="12"/>
      <x:c r="T109" s="12"/>
      <x:c r="U109" s="12"/>
      <x:c r="V109" s="12"/>
      <x:c r="W109" s="12" t="str">
        <x:f>IF(V109="","",IF(V109&lt;=14,"Tier 1 - Minimal",IF(V109&lt;=21,"Tier 2 - Limited",IF(V109&lt;=28,"Tier 3 - High","Tier 4 - Critical"))))</x:f>
      </x:c>
      <x:c r="X109" s="12"/>
      <x:c r="Y109" s="12"/>
      <x:c r="Z109" s="14"/>
      <x:c r="AA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 t="n">
        <x:f>SUM(F110:N110)</x:f>
        <x:v>0</x:v>
      </x:c>
      <x:c r="P110" s="12" t="str">
        <x:f>IF(O110="","",IF(O110&lt;=14,"Tier 1 - Minimal",IF(O110&lt;=21,"Tier 2 - Limited",IF(O110&lt;=28,"Tier 3 - High","Tier 4 - Critical"))))</x:f>
      </x:c>
      <x:c r="Q110" s="12"/>
      <x:c r="R110" s="12" t="str">
        <x:f>IF(O110="","",IF(Q110="Yes - Tier 4","Tier 4 - Critical",IF(Q110="Yes - Tier 3",IF(O110&lt;=28,"Tier 3 - High",P110),P110)))</x:f>
      </x:c>
      <x:c r="S110" s="12"/>
      <x:c r="T110" s="12"/>
      <x:c r="U110" s="12"/>
      <x:c r="V110" s="12"/>
      <x:c r="W110" s="12" t="str">
        <x:f>IF(V110="","",IF(V110&lt;=14,"Tier 1 - Minimal",IF(V110&lt;=21,"Tier 2 - Limited",IF(V110&lt;=28,"Tier 3 - High","Tier 4 - Critical"))))</x:f>
      </x:c>
      <x:c r="X110" s="12"/>
      <x:c r="Y110" s="12"/>
      <x:c r="Z110" s="14"/>
      <x:c r="AA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 t="n">
        <x:f>SUM(F111:N111)</x:f>
        <x:v>0</x:v>
      </x:c>
      <x:c r="P111" s="12" t="str">
        <x:f>IF(O111="","",IF(O111&lt;=14,"Tier 1 - Minimal",IF(O111&lt;=21,"Tier 2 - Limited",IF(O111&lt;=28,"Tier 3 - High","Tier 4 - Critical"))))</x:f>
      </x:c>
      <x:c r="Q111" s="12"/>
      <x:c r="R111" s="12" t="str">
        <x:f>IF(O111="","",IF(Q111="Yes - Tier 4","Tier 4 - Critical",IF(Q111="Yes - Tier 3",IF(O111&lt;=28,"Tier 3 - High",P111),P111)))</x:f>
      </x:c>
      <x:c r="S111" s="12"/>
      <x:c r="T111" s="12"/>
      <x:c r="U111" s="12"/>
      <x:c r="V111" s="12"/>
      <x:c r="W111" s="12" t="str">
        <x:f>IF(V111="","",IF(V111&lt;=14,"Tier 1 - Minimal",IF(V111&lt;=21,"Tier 2 - Limited",IF(V111&lt;=28,"Tier 3 - High","Tier 4 - Critical"))))</x:f>
      </x:c>
      <x:c r="X111" s="12"/>
      <x:c r="Y111" s="12"/>
      <x:c r="Z111" s="14"/>
      <x:c r="AA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 t="n">
        <x:f>SUM(F112:N112)</x:f>
        <x:v>0</x:v>
      </x:c>
      <x:c r="P112" s="12" t="str">
        <x:f>IF(O112="","",IF(O112&lt;=14,"Tier 1 - Minimal",IF(O112&lt;=21,"Tier 2 - Limited",IF(O112&lt;=28,"Tier 3 - High","Tier 4 - Critical"))))</x:f>
      </x:c>
      <x:c r="Q112" s="12"/>
      <x:c r="R112" s="12" t="str">
        <x:f>IF(O112="","",IF(Q112="Yes - Tier 4","Tier 4 - Critical",IF(Q112="Yes - Tier 3",IF(O112&lt;=28,"Tier 3 - High",P112),P112)))</x:f>
      </x:c>
      <x:c r="S112" s="12"/>
      <x:c r="T112" s="12"/>
      <x:c r="U112" s="12"/>
      <x:c r="V112" s="12"/>
      <x:c r="W112" s="12" t="str">
        <x:f>IF(V112="","",IF(V112&lt;=14,"Tier 1 - Minimal",IF(V112&lt;=21,"Tier 2 - Limited",IF(V112&lt;=28,"Tier 3 - High","Tier 4 - Critical"))))</x:f>
      </x:c>
      <x:c r="X112" s="12"/>
      <x:c r="Y112" s="12"/>
      <x:c r="Z112" s="14"/>
      <x:c r="AA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 t="n">
        <x:f>SUM(F113:N113)</x:f>
        <x:v>0</x:v>
      </x:c>
      <x:c r="P113" s="12" t="str">
        <x:f>IF(O113="","",IF(O113&lt;=14,"Tier 1 - Minimal",IF(O113&lt;=21,"Tier 2 - Limited",IF(O113&lt;=28,"Tier 3 - High","Tier 4 - Critical"))))</x:f>
      </x:c>
      <x:c r="Q113" s="12"/>
      <x:c r="R113" s="12" t="str">
        <x:f>IF(O113="","",IF(Q113="Yes - Tier 4","Tier 4 - Critical",IF(Q113="Yes - Tier 3",IF(O113&lt;=28,"Tier 3 - High",P113),P113)))</x:f>
      </x:c>
      <x:c r="S113" s="12"/>
      <x:c r="T113" s="12"/>
      <x:c r="U113" s="12"/>
      <x:c r="V113" s="12"/>
      <x:c r="W113" s="12" t="str">
        <x:f>IF(V113="","",IF(V113&lt;=14,"Tier 1 - Minimal",IF(V113&lt;=21,"Tier 2 - Limited",IF(V113&lt;=28,"Tier 3 - High","Tier 4 - Critical"))))</x:f>
      </x:c>
      <x:c r="X113" s="12"/>
      <x:c r="Y113" s="12"/>
      <x:c r="Z113" s="14"/>
      <x:c r="AA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 t="n">
        <x:f>SUM(F114:N114)</x:f>
        <x:v>0</x:v>
      </x:c>
      <x:c r="P114" s="12" t="str">
        <x:f>IF(O114="","",IF(O114&lt;=14,"Tier 1 - Minimal",IF(O114&lt;=21,"Tier 2 - Limited",IF(O114&lt;=28,"Tier 3 - High","Tier 4 - Critical"))))</x:f>
      </x:c>
      <x:c r="Q114" s="12"/>
      <x:c r="R114" s="12" t="str">
        <x:f>IF(O114="","",IF(Q114="Yes - Tier 4","Tier 4 - Critical",IF(Q114="Yes - Tier 3",IF(O114&lt;=28,"Tier 3 - High",P114),P114)))</x:f>
      </x:c>
      <x:c r="S114" s="12"/>
      <x:c r="T114" s="12"/>
      <x:c r="U114" s="12"/>
      <x:c r="V114" s="12"/>
      <x:c r="W114" s="12" t="str">
        <x:f>IF(V114="","",IF(V114&lt;=14,"Tier 1 - Minimal",IF(V114&lt;=21,"Tier 2 - Limited",IF(V114&lt;=28,"Tier 3 - High","Tier 4 - Critical"))))</x:f>
      </x:c>
      <x:c r="X114" s="12"/>
      <x:c r="Y114" s="12"/>
      <x:c r="Z114" s="14"/>
      <x:c r="AA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 t="n">
        <x:f>SUM(F115:N115)</x:f>
        <x:v>0</x:v>
      </x:c>
      <x:c r="P115" s="12" t="str">
        <x:f>IF(O115="","",IF(O115&lt;=14,"Tier 1 - Minimal",IF(O115&lt;=21,"Tier 2 - Limited",IF(O115&lt;=28,"Tier 3 - High","Tier 4 - Critical"))))</x:f>
      </x:c>
      <x:c r="Q115" s="12"/>
      <x:c r="R115" s="12" t="str">
        <x:f>IF(O115="","",IF(Q115="Yes - Tier 4","Tier 4 - Critical",IF(Q115="Yes - Tier 3",IF(O115&lt;=28,"Tier 3 - High",P115),P115)))</x:f>
      </x:c>
      <x:c r="S115" s="12"/>
      <x:c r="T115" s="12"/>
      <x:c r="U115" s="12"/>
      <x:c r="V115" s="12"/>
      <x:c r="W115" s="12" t="str">
        <x:f>IF(V115="","",IF(V115&lt;=14,"Tier 1 - Minimal",IF(V115&lt;=21,"Tier 2 - Limited",IF(V115&lt;=28,"Tier 3 - High","Tier 4 - Critical"))))</x:f>
      </x:c>
      <x:c r="X115" s="12"/>
      <x:c r="Y115" s="12"/>
      <x:c r="Z115" s="14"/>
      <x:c r="AA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 t="n">
        <x:f>SUM(F116:N116)</x:f>
        <x:v>0</x:v>
      </x:c>
      <x:c r="P116" s="12" t="str">
        <x:f>IF(O116="","",IF(O116&lt;=14,"Tier 1 - Minimal",IF(O116&lt;=21,"Tier 2 - Limited",IF(O116&lt;=28,"Tier 3 - High","Tier 4 - Critical"))))</x:f>
      </x:c>
      <x:c r="Q116" s="12"/>
      <x:c r="R116" s="12" t="str">
        <x:f>IF(O116="","",IF(Q116="Yes - Tier 4","Tier 4 - Critical",IF(Q116="Yes - Tier 3",IF(O116&lt;=28,"Tier 3 - High",P116),P116)))</x:f>
      </x:c>
      <x:c r="S116" s="12"/>
      <x:c r="T116" s="12"/>
      <x:c r="U116" s="12"/>
      <x:c r="V116" s="12"/>
      <x:c r="W116" s="12" t="str">
        <x:f>IF(V116="","",IF(V116&lt;=14,"Tier 1 - Minimal",IF(V116&lt;=21,"Tier 2 - Limited",IF(V116&lt;=28,"Tier 3 - High","Tier 4 - Critical"))))</x:f>
      </x:c>
      <x:c r="X116" s="12"/>
      <x:c r="Y116" s="12"/>
      <x:c r="Z116" s="14"/>
      <x:c r="AA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 t="n">
        <x:f>SUM(F117:N117)</x:f>
        <x:v>0</x:v>
      </x:c>
      <x:c r="P117" s="12" t="str">
        <x:f>IF(O117="","",IF(O117&lt;=14,"Tier 1 - Minimal",IF(O117&lt;=21,"Tier 2 - Limited",IF(O117&lt;=28,"Tier 3 - High","Tier 4 - Critical"))))</x:f>
      </x:c>
      <x:c r="Q117" s="12"/>
      <x:c r="R117" s="12" t="str">
        <x:f>IF(O117="","",IF(Q117="Yes - Tier 4","Tier 4 - Critical",IF(Q117="Yes - Tier 3",IF(O117&lt;=28,"Tier 3 - High",P117),P117)))</x:f>
      </x:c>
      <x:c r="S117" s="12"/>
      <x:c r="T117" s="12"/>
      <x:c r="U117" s="12"/>
      <x:c r="V117" s="12"/>
      <x:c r="W117" s="12" t="str">
        <x:f>IF(V117="","",IF(V117&lt;=14,"Tier 1 - Minimal",IF(V117&lt;=21,"Tier 2 - Limited",IF(V117&lt;=28,"Tier 3 - High","Tier 4 - Critical"))))</x:f>
      </x:c>
      <x:c r="X117" s="12"/>
      <x:c r="Y117" s="12"/>
      <x:c r="Z117" s="14"/>
      <x:c r="AA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 t="n">
        <x:f>SUM(F118:N118)</x:f>
        <x:v>0</x:v>
      </x:c>
      <x:c r="P118" s="12" t="str">
        <x:f>IF(O118="","",IF(O118&lt;=14,"Tier 1 - Minimal",IF(O118&lt;=21,"Tier 2 - Limited",IF(O118&lt;=28,"Tier 3 - High","Tier 4 - Critical"))))</x:f>
      </x:c>
      <x:c r="Q118" s="12"/>
      <x:c r="R118" s="12" t="str">
        <x:f>IF(O118="","",IF(Q118="Yes - Tier 4","Tier 4 - Critical",IF(Q118="Yes - Tier 3",IF(O118&lt;=28,"Tier 3 - High",P118),P118)))</x:f>
      </x:c>
      <x:c r="S118" s="12"/>
      <x:c r="T118" s="12"/>
      <x:c r="U118" s="12"/>
      <x:c r="V118" s="12"/>
      <x:c r="W118" s="12" t="str">
        <x:f>IF(V118="","",IF(V118&lt;=14,"Tier 1 - Minimal",IF(V118&lt;=21,"Tier 2 - Limited",IF(V118&lt;=28,"Tier 3 - High","Tier 4 - Critical"))))</x:f>
      </x:c>
      <x:c r="X118" s="12"/>
      <x:c r="Y118" s="12"/>
      <x:c r="Z118" s="14"/>
      <x:c r="AA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 t="n">
        <x:f>SUM(F119:N119)</x:f>
        <x:v>0</x:v>
      </x:c>
      <x:c r="P119" s="12" t="str">
        <x:f>IF(O119="","",IF(O119&lt;=14,"Tier 1 - Minimal",IF(O119&lt;=21,"Tier 2 - Limited",IF(O119&lt;=28,"Tier 3 - High","Tier 4 - Critical"))))</x:f>
      </x:c>
      <x:c r="Q119" s="12"/>
      <x:c r="R119" s="12" t="str">
        <x:f>IF(O119="","",IF(Q119="Yes - Tier 4","Tier 4 - Critical",IF(Q119="Yes - Tier 3",IF(O119&lt;=28,"Tier 3 - High",P119),P119)))</x:f>
      </x:c>
      <x:c r="S119" s="12"/>
      <x:c r="T119" s="12"/>
      <x:c r="U119" s="12"/>
      <x:c r="V119" s="12"/>
      <x:c r="W119" s="12" t="str">
        <x:f>IF(V119="","",IF(V119&lt;=14,"Tier 1 - Minimal",IF(V119&lt;=21,"Tier 2 - Limited",IF(V119&lt;=28,"Tier 3 - High","Tier 4 - Critical"))))</x:f>
      </x:c>
      <x:c r="X119" s="12"/>
      <x:c r="Y119" s="12"/>
      <x:c r="Z119" s="14"/>
      <x:c r="AA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 t="n">
        <x:f>SUM(F120:N120)</x:f>
        <x:v>0</x:v>
      </x:c>
      <x:c r="P120" s="12" t="str">
        <x:f>IF(O120="","",IF(O120&lt;=14,"Tier 1 - Minimal",IF(O120&lt;=21,"Tier 2 - Limited",IF(O120&lt;=28,"Tier 3 - High","Tier 4 - Critical"))))</x:f>
      </x:c>
      <x:c r="Q120" s="12"/>
      <x:c r="R120" s="12" t="str">
        <x:f>IF(O120="","",IF(Q120="Yes - Tier 4","Tier 4 - Critical",IF(Q120="Yes - Tier 3",IF(O120&lt;=28,"Tier 3 - High",P120),P120)))</x:f>
      </x:c>
      <x:c r="S120" s="12"/>
      <x:c r="T120" s="12"/>
      <x:c r="U120" s="12"/>
      <x:c r="V120" s="12"/>
      <x:c r="W120" s="12" t="str">
        <x:f>IF(V120="","",IF(V120&lt;=14,"Tier 1 - Minimal",IF(V120&lt;=21,"Tier 2 - Limited",IF(V120&lt;=28,"Tier 3 - High","Tier 4 - Critical"))))</x:f>
      </x:c>
      <x:c r="X120" s="12"/>
      <x:c r="Y120" s="12"/>
      <x:c r="Z120" s="14"/>
      <x:c r="AA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 t="n">
        <x:f>SUM(F121:N121)</x:f>
        <x:v>0</x:v>
      </x:c>
      <x:c r="P121" s="12" t="str">
        <x:f>IF(O121="","",IF(O121&lt;=14,"Tier 1 - Minimal",IF(O121&lt;=21,"Tier 2 - Limited",IF(O121&lt;=28,"Tier 3 - High","Tier 4 - Critical"))))</x:f>
      </x:c>
      <x:c r="Q121" s="12"/>
      <x:c r="R121" s="12" t="str">
        <x:f>IF(O121="","",IF(Q121="Yes - Tier 4","Tier 4 - Critical",IF(Q121="Yes - Tier 3",IF(O121&lt;=28,"Tier 3 - High",P121),P121)))</x:f>
      </x:c>
      <x:c r="S121" s="12"/>
      <x:c r="T121" s="12"/>
      <x:c r="U121" s="12"/>
      <x:c r="V121" s="12"/>
      <x:c r="W121" s="12" t="str">
        <x:f>IF(V121="","",IF(V121&lt;=14,"Tier 1 - Minimal",IF(V121&lt;=21,"Tier 2 - Limited",IF(V121&lt;=28,"Tier 3 - High","Tier 4 - Critical"))))</x:f>
      </x:c>
      <x:c r="X121" s="12"/>
      <x:c r="Y121" s="12"/>
      <x:c r="Z121" s="14"/>
      <x:c r="AA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 t="n">
        <x:f>SUM(F122:N122)</x:f>
        <x:v>0</x:v>
      </x:c>
      <x:c r="P122" s="12" t="str">
        <x:f>IF(O122="","",IF(O122&lt;=14,"Tier 1 - Minimal",IF(O122&lt;=21,"Tier 2 - Limited",IF(O122&lt;=28,"Tier 3 - High","Tier 4 - Critical"))))</x:f>
      </x:c>
      <x:c r="Q122" s="12"/>
      <x:c r="R122" s="12" t="str">
        <x:f>IF(O122="","",IF(Q122="Yes - Tier 4","Tier 4 - Critical",IF(Q122="Yes - Tier 3",IF(O122&lt;=28,"Tier 3 - High",P122),P122)))</x:f>
      </x:c>
      <x:c r="S122" s="12"/>
      <x:c r="T122" s="12"/>
      <x:c r="U122" s="12"/>
      <x:c r="V122" s="12"/>
      <x:c r="W122" s="12" t="str">
        <x:f>IF(V122="","",IF(V122&lt;=14,"Tier 1 - Minimal",IF(V122&lt;=21,"Tier 2 - Limited",IF(V122&lt;=28,"Tier 3 - High","Tier 4 - Critical"))))</x:f>
      </x:c>
      <x:c r="X122" s="12"/>
      <x:c r="Y122" s="12"/>
      <x:c r="Z122" s="14"/>
      <x:c r="AA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 t="n">
        <x:f>SUM(F123:N123)</x:f>
        <x:v>0</x:v>
      </x:c>
      <x:c r="P123" s="12" t="str">
        <x:f>IF(O123="","",IF(O123&lt;=14,"Tier 1 - Minimal",IF(O123&lt;=21,"Tier 2 - Limited",IF(O123&lt;=28,"Tier 3 - High","Tier 4 - Critical"))))</x:f>
      </x:c>
      <x:c r="Q123" s="12"/>
      <x:c r="R123" s="12" t="str">
        <x:f>IF(O123="","",IF(Q123="Yes - Tier 4","Tier 4 - Critical",IF(Q123="Yes - Tier 3",IF(O123&lt;=28,"Tier 3 - High",P123),P123)))</x:f>
      </x:c>
      <x:c r="S123" s="12"/>
      <x:c r="T123" s="12"/>
      <x:c r="U123" s="12"/>
      <x:c r="V123" s="12"/>
      <x:c r="W123" s="12" t="str">
        <x:f>IF(V123="","",IF(V123&lt;=14,"Tier 1 - Minimal",IF(V123&lt;=21,"Tier 2 - Limited",IF(V123&lt;=28,"Tier 3 - High","Tier 4 - Critical"))))</x:f>
      </x:c>
      <x:c r="X123" s="12"/>
      <x:c r="Y123" s="12"/>
      <x:c r="Z123" s="14"/>
      <x:c r="AA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 t="n">
        <x:f>SUM(F124:N124)</x:f>
        <x:v>0</x:v>
      </x:c>
      <x:c r="P124" s="12" t="str">
        <x:f>IF(O124="","",IF(O124&lt;=14,"Tier 1 - Minimal",IF(O124&lt;=21,"Tier 2 - Limited",IF(O124&lt;=28,"Tier 3 - High","Tier 4 - Critical"))))</x:f>
      </x:c>
      <x:c r="Q124" s="12"/>
      <x:c r="R124" s="12" t="str">
        <x:f>IF(O124="","",IF(Q124="Yes - Tier 4","Tier 4 - Critical",IF(Q124="Yes - Tier 3",IF(O124&lt;=28,"Tier 3 - High",P124),P124)))</x:f>
      </x:c>
      <x:c r="S124" s="12"/>
      <x:c r="T124" s="12"/>
      <x:c r="U124" s="12"/>
      <x:c r="V124" s="12"/>
      <x:c r="W124" s="12" t="str">
        <x:f>IF(V124="","",IF(V124&lt;=14,"Tier 1 - Minimal",IF(V124&lt;=21,"Tier 2 - Limited",IF(V124&lt;=28,"Tier 3 - High","Tier 4 - Critical"))))</x:f>
      </x:c>
      <x:c r="X124" s="12"/>
      <x:c r="Y124" s="12"/>
      <x:c r="Z124" s="14"/>
      <x:c r="AA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 t="n">
        <x:f>SUM(F125:N125)</x:f>
        <x:v>0</x:v>
      </x:c>
      <x:c r="P125" s="12" t="str">
        <x:f>IF(O125="","",IF(O125&lt;=14,"Tier 1 - Minimal",IF(O125&lt;=21,"Tier 2 - Limited",IF(O125&lt;=28,"Tier 3 - High","Tier 4 - Critical"))))</x:f>
      </x:c>
      <x:c r="Q125" s="12"/>
      <x:c r="R125" s="12" t="str">
        <x:f>IF(O125="","",IF(Q125="Yes - Tier 4","Tier 4 - Critical",IF(Q125="Yes - Tier 3",IF(O125&lt;=28,"Tier 3 - High",P125),P125)))</x:f>
      </x:c>
      <x:c r="S125" s="12"/>
      <x:c r="T125" s="12"/>
      <x:c r="U125" s="12"/>
      <x:c r="V125" s="12"/>
      <x:c r="W125" s="12" t="str">
        <x:f>IF(V125="","",IF(V125&lt;=14,"Tier 1 - Minimal",IF(V125&lt;=21,"Tier 2 - Limited",IF(V125&lt;=28,"Tier 3 - High","Tier 4 - Critical"))))</x:f>
      </x:c>
      <x:c r="X125" s="12"/>
      <x:c r="Y125" s="12"/>
      <x:c r="Z125" s="14"/>
      <x:c r="AA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 t="n">
        <x:f>SUM(F126:N126)</x:f>
        <x:v>0</x:v>
      </x:c>
      <x:c r="P126" s="12" t="str">
        <x:f>IF(O126="","",IF(O126&lt;=14,"Tier 1 - Minimal",IF(O126&lt;=21,"Tier 2 - Limited",IF(O126&lt;=28,"Tier 3 - High","Tier 4 - Critical"))))</x:f>
      </x:c>
      <x:c r="Q126" s="12"/>
      <x:c r="R126" s="12" t="str">
        <x:f>IF(O126="","",IF(Q126="Yes - Tier 4","Tier 4 - Critical",IF(Q126="Yes - Tier 3",IF(O126&lt;=28,"Tier 3 - High",P126),P126)))</x:f>
      </x:c>
      <x:c r="S126" s="12"/>
      <x:c r="T126" s="12"/>
      <x:c r="U126" s="12"/>
      <x:c r="V126" s="12"/>
      <x:c r="W126" s="12" t="str">
        <x:f>IF(V126="","",IF(V126&lt;=14,"Tier 1 - Minimal",IF(V126&lt;=21,"Tier 2 - Limited",IF(V126&lt;=28,"Tier 3 - High","Tier 4 - Critical"))))</x:f>
      </x:c>
      <x:c r="X126" s="12"/>
      <x:c r="Y126" s="12"/>
      <x:c r="Z126" s="14"/>
      <x:c r="AA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 t="n">
        <x:f>SUM(F127:N127)</x:f>
        <x:v>0</x:v>
      </x:c>
      <x:c r="P127" s="12" t="str">
        <x:f>IF(O127="","",IF(O127&lt;=14,"Tier 1 - Minimal",IF(O127&lt;=21,"Tier 2 - Limited",IF(O127&lt;=28,"Tier 3 - High","Tier 4 - Critical"))))</x:f>
      </x:c>
      <x:c r="Q127" s="12"/>
      <x:c r="R127" s="12" t="str">
        <x:f>IF(O127="","",IF(Q127="Yes - Tier 4","Tier 4 - Critical",IF(Q127="Yes - Tier 3",IF(O127&lt;=28,"Tier 3 - High",P127),P127)))</x:f>
      </x:c>
      <x:c r="S127" s="12"/>
      <x:c r="T127" s="12"/>
      <x:c r="U127" s="12"/>
      <x:c r="V127" s="12"/>
      <x:c r="W127" s="12" t="str">
        <x:f>IF(V127="","",IF(V127&lt;=14,"Tier 1 - Minimal",IF(V127&lt;=21,"Tier 2 - Limited",IF(V127&lt;=28,"Tier 3 - High","Tier 4 - Critical"))))</x:f>
      </x:c>
      <x:c r="X127" s="12"/>
      <x:c r="Y127" s="12"/>
      <x:c r="Z127" s="14"/>
      <x:c r="AA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 t="n">
        <x:f>SUM(F128:N128)</x:f>
        <x:v>0</x:v>
      </x:c>
      <x:c r="P128" s="12" t="str">
        <x:f>IF(O128="","",IF(O128&lt;=14,"Tier 1 - Minimal",IF(O128&lt;=21,"Tier 2 - Limited",IF(O128&lt;=28,"Tier 3 - High","Tier 4 - Critical"))))</x:f>
      </x:c>
      <x:c r="Q128" s="12"/>
      <x:c r="R128" s="12" t="str">
        <x:f>IF(O128="","",IF(Q128="Yes - Tier 4","Tier 4 - Critical",IF(Q128="Yes - Tier 3",IF(O128&lt;=28,"Tier 3 - High",P128),P128)))</x:f>
      </x:c>
      <x:c r="S128" s="12"/>
      <x:c r="T128" s="12"/>
      <x:c r="U128" s="12"/>
      <x:c r="V128" s="12"/>
      <x:c r="W128" s="12" t="str">
        <x:f>IF(V128="","",IF(V128&lt;=14,"Tier 1 - Minimal",IF(V128&lt;=21,"Tier 2 - Limited",IF(V128&lt;=28,"Tier 3 - High","Tier 4 - Critical"))))</x:f>
      </x:c>
      <x:c r="X128" s="12"/>
      <x:c r="Y128" s="12"/>
      <x:c r="Z128" s="14"/>
      <x:c r="AA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 t="n">
        <x:f>SUM(F129:N129)</x:f>
        <x:v>0</x:v>
      </x:c>
      <x:c r="P129" s="12" t="str">
        <x:f>IF(O129="","",IF(O129&lt;=14,"Tier 1 - Minimal",IF(O129&lt;=21,"Tier 2 - Limited",IF(O129&lt;=28,"Tier 3 - High","Tier 4 - Critical"))))</x:f>
      </x:c>
      <x:c r="Q129" s="12"/>
      <x:c r="R129" s="12" t="str">
        <x:f>IF(O129="","",IF(Q129="Yes - Tier 4","Tier 4 - Critical",IF(Q129="Yes - Tier 3",IF(O129&lt;=28,"Tier 3 - High",P129),P129)))</x:f>
      </x:c>
      <x:c r="S129" s="12"/>
      <x:c r="T129" s="12"/>
      <x:c r="U129" s="12"/>
      <x:c r="V129" s="12"/>
      <x:c r="W129" s="12" t="str">
        <x:f>IF(V129="","",IF(V129&lt;=14,"Tier 1 - Minimal",IF(V129&lt;=21,"Tier 2 - Limited",IF(V129&lt;=28,"Tier 3 - High","Tier 4 - Critical"))))</x:f>
      </x:c>
      <x:c r="X129" s="12"/>
      <x:c r="Y129" s="12"/>
      <x:c r="Z129" s="14"/>
      <x:c r="AA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 t="n">
        <x:f>SUM(F130:N130)</x:f>
        <x:v>0</x:v>
      </x:c>
      <x:c r="P130" s="12" t="str">
        <x:f>IF(O130="","",IF(O130&lt;=14,"Tier 1 - Minimal",IF(O130&lt;=21,"Tier 2 - Limited",IF(O130&lt;=28,"Tier 3 - High","Tier 4 - Critical"))))</x:f>
      </x:c>
      <x:c r="Q130" s="12"/>
      <x:c r="R130" s="12" t="str">
        <x:f>IF(O130="","",IF(Q130="Yes - Tier 4","Tier 4 - Critical",IF(Q130="Yes - Tier 3",IF(O130&lt;=28,"Tier 3 - High",P130),P130)))</x:f>
      </x:c>
      <x:c r="S130" s="12"/>
      <x:c r="T130" s="12"/>
      <x:c r="U130" s="12"/>
      <x:c r="V130" s="12"/>
      <x:c r="W130" s="12" t="str">
        <x:f>IF(V130="","",IF(V130&lt;=14,"Tier 1 - Minimal",IF(V130&lt;=21,"Tier 2 - Limited",IF(V130&lt;=28,"Tier 3 - High","Tier 4 - Critical"))))</x:f>
      </x:c>
      <x:c r="X130" s="12"/>
      <x:c r="Y130" s="12"/>
      <x:c r="Z130" s="14"/>
      <x:c r="AA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 t="n">
        <x:f>SUM(F131:N131)</x:f>
        <x:v>0</x:v>
      </x:c>
      <x:c r="P131" s="12" t="str">
        <x:f>IF(O131="","",IF(O131&lt;=14,"Tier 1 - Minimal",IF(O131&lt;=21,"Tier 2 - Limited",IF(O131&lt;=28,"Tier 3 - High","Tier 4 - Critical"))))</x:f>
      </x:c>
      <x:c r="Q131" s="12"/>
      <x:c r="R131" s="12" t="str">
        <x:f>IF(O131="","",IF(Q131="Yes - Tier 4","Tier 4 - Critical",IF(Q131="Yes - Tier 3",IF(O131&lt;=28,"Tier 3 - High",P131),P131)))</x:f>
      </x:c>
      <x:c r="S131" s="12"/>
      <x:c r="T131" s="12"/>
      <x:c r="U131" s="12"/>
      <x:c r="V131" s="12"/>
      <x:c r="W131" s="12" t="str">
        <x:f>IF(V131="","",IF(V131&lt;=14,"Tier 1 - Minimal",IF(V131&lt;=21,"Tier 2 - Limited",IF(V131&lt;=28,"Tier 3 - High","Tier 4 - Critical"))))</x:f>
      </x:c>
      <x:c r="X131" s="12"/>
      <x:c r="Y131" s="12"/>
      <x:c r="Z131" s="14"/>
      <x:c r="AA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 t="n">
        <x:f>SUM(F132:N132)</x:f>
        <x:v>0</x:v>
      </x:c>
      <x:c r="P132" s="12" t="str">
        <x:f>IF(O132="","",IF(O132&lt;=14,"Tier 1 - Minimal",IF(O132&lt;=21,"Tier 2 - Limited",IF(O132&lt;=28,"Tier 3 - High","Tier 4 - Critical"))))</x:f>
      </x:c>
      <x:c r="Q132" s="12"/>
      <x:c r="R132" s="12" t="str">
        <x:f>IF(O132="","",IF(Q132="Yes - Tier 4","Tier 4 - Critical",IF(Q132="Yes - Tier 3",IF(O132&lt;=28,"Tier 3 - High",P132),P132)))</x:f>
      </x:c>
      <x:c r="S132" s="12"/>
      <x:c r="T132" s="12"/>
      <x:c r="U132" s="12"/>
      <x:c r="V132" s="12"/>
      <x:c r="W132" s="12" t="str">
        <x:f>IF(V132="","",IF(V132&lt;=14,"Tier 1 - Minimal",IF(V132&lt;=21,"Tier 2 - Limited",IF(V132&lt;=28,"Tier 3 - High","Tier 4 - Critical"))))</x:f>
      </x:c>
      <x:c r="X132" s="12"/>
      <x:c r="Y132" s="12"/>
      <x:c r="Z132" s="14"/>
      <x:c r="AA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 t="n">
        <x:f>SUM(F133:N133)</x:f>
        <x:v>0</x:v>
      </x:c>
      <x:c r="P133" s="12" t="str">
        <x:f>IF(O133="","",IF(O133&lt;=14,"Tier 1 - Minimal",IF(O133&lt;=21,"Tier 2 - Limited",IF(O133&lt;=28,"Tier 3 - High","Tier 4 - Critical"))))</x:f>
      </x:c>
      <x:c r="Q133" s="12"/>
      <x:c r="R133" s="12" t="str">
        <x:f>IF(O133="","",IF(Q133="Yes - Tier 4","Tier 4 - Critical",IF(Q133="Yes - Tier 3",IF(O133&lt;=28,"Tier 3 - High",P133),P133)))</x:f>
      </x:c>
      <x:c r="S133" s="12"/>
      <x:c r="T133" s="12"/>
      <x:c r="U133" s="12"/>
      <x:c r="V133" s="12"/>
      <x:c r="W133" s="12" t="str">
        <x:f>IF(V133="","",IF(V133&lt;=14,"Tier 1 - Minimal",IF(V133&lt;=21,"Tier 2 - Limited",IF(V133&lt;=28,"Tier 3 - High","Tier 4 - Critical"))))</x:f>
      </x:c>
      <x:c r="X133" s="12"/>
      <x:c r="Y133" s="12"/>
      <x:c r="Z133" s="14"/>
      <x:c r="AA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 t="n">
        <x:f>SUM(F134:N134)</x:f>
        <x:v>0</x:v>
      </x:c>
      <x:c r="P134" s="12" t="str">
        <x:f>IF(O134="","",IF(O134&lt;=14,"Tier 1 - Minimal",IF(O134&lt;=21,"Tier 2 - Limited",IF(O134&lt;=28,"Tier 3 - High","Tier 4 - Critical"))))</x:f>
      </x:c>
      <x:c r="Q134" s="12"/>
      <x:c r="R134" s="12" t="str">
        <x:f>IF(O134="","",IF(Q134="Yes - Tier 4","Tier 4 - Critical",IF(Q134="Yes - Tier 3",IF(O134&lt;=28,"Tier 3 - High",P134),P134)))</x:f>
      </x:c>
      <x:c r="S134" s="12"/>
      <x:c r="T134" s="12"/>
      <x:c r="U134" s="12"/>
      <x:c r="V134" s="12"/>
      <x:c r="W134" s="12" t="str">
        <x:f>IF(V134="","",IF(V134&lt;=14,"Tier 1 - Minimal",IF(V134&lt;=21,"Tier 2 - Limited",IF(V134&lt;=28,"Tier 3 - High","Tier 4 - Critical"))))</x:f>
      </x:c>
      <x:c r="X134" s="12"/>
      <x:c r="Y134" s="12"/>
      <x:c r="Z134" s="14"/>
      <x:c r="AA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 t="n">
        <x:f>SUM(F135:N135)</x:f>
        <x:v>0</x:v>
      </x:c>
      <x:c r="P135" s="12" t="str">
        <x:f>IF(O135="","",IF(O135&lt;=14,"Tier 1 - Minimal",IF(O135&lt;=21,"Tier 2 - Limited",IF(O135&lt;=28,"Tier 3 - High","Tier 4 - Critical"))))</x:f>
      </x:c>
      <x:c r="Q135" s="12"/>
      <x:c r="R135" s="12" t="str">
        <x:f>IF(O135="","",IF(Q135="Yes - Tier 4","Tier 4 - Critical",IF(Q135="Yes - Tier 3",IF(O135&lt;=28,"Tier 3 - High",P135),P135)))</x:f>
      </x:c>
      <x:c r="S135" s="12"/>
      <x:c r="T135" s="12"/>
      <x:c r="U135" s="12"/>
      <x:c r="V135" s="12"/>
      <x:c r="W135" s="12" t="str">
        <x:f>IF(V135="","",IF(V135&lt;=14,"Tier 1 - Minimal",IF(V135&lt;=21,"Tier 2 - Limited",IF(V135&lt;=28,"Tier 3 - High","Tier 4 - Critical"))))</x:f>
      </x:c>
      <x:c r="X135" s="12"/>
      <x:c r="Y135" s="12"/>
      <x:c r="Z135" s="14"/>
      <x:c r="AA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 t="n">
        <x:f>SUM(F136:N136)</x:f>
        <x:v>0</x:v>
      </x:c>
      <x:c r="P136" s="12" t="str">
        <x:f>IF(O136="","",IF(O136&lt;=14,"Tier 1 - Minimal",IF(O136&lt;=21,"Tier 2 - Limited",IF(O136&lt;=28,"Tier 3 - High","Tier 4 - Critical"))))</x:f>
      </x:c>
      <x:c r="Q136" s="12"/>
      <x:c r="R136" s="12" t="str">
        <x:f>IF(O136="","",IF(Q136="Yes - Tier 4","Tier 4 - Critical",IF(Q136="Yes - Tier 3",IF(O136&lt;=28,"Tier 3 - High",P136),P136)))</x:f>
      </x:c>
      <x:c r="S136" s="12"/>
      <x:c r="T136" s="12"/>
      <x:c r="U136" s="12"/>
      <x:c r="V136" s="12"/>
      <x:c r="W136" s="12" t="str">
        <x:f>IF(V136="","",IF(V136&lt;=14,"Tier 1 - Minimal",IF(V136&lt;=21,"Tier 2 - Limited",IF(V136&lt;=28,"Tier 3 - High","Tier 4 - Critical"))))</x:f>
      </x:c>
      <x:c r="X136" s="12"/>
      <x:c r="Y136" s="12"/>
      <x:c r="Z136" s="14"/>
      <x:c r="AA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 t="n">
        <x:f>SUM(F137:N137)</x:f>
        <x:v>0</x:v>
      </x:c>
      <x:c r="P137" s="12" t="str">
        <x:f>IF(O137="","",IF(O137&lt;=14,"Tier 1 - Minimal",IF(O137&lt;=21,"Tier 2 - Limited",IF(O137&lt;=28,"Tier 3 - High","Tier 4 - Critical"))))</x:f>
      </x:c>
      <x:c r="Q137" s="12"/>
      <x:c r="R137" s="12" t="str">
        <x:f>IF(O137="","",IF(Q137="Yes - Tier 4","Tier 4 - Critical",IF(Q137="Yes - Tier 3",IF(O137&lt;=28,"Tier 3 - High",P137),P137)))</x:f>
      </x:c>
      <x:c r="S137" s="12"/>
      <x:c r="T137" s="12"/>
      <x:c r="U137" s="12"/>
      <x:c r="V137" s="12"/>
      <x:c r="W137" s="12" t="str">
        <x:f>IF(V137="","",IF(V137&lt;=14,"Tier 1 - Minimal",IF(V137&lt;=21,"Tier 2 - Limited",IF(V137&lt;=28,"Tier 3 - High","Tier 4 - Critical"))))</x:f>
      </x:c>
      <x:c r="X137" s="12"/>
      <x:c r="Y137" s="12"/>
      <x:c r="Z137" s="14"/>
      <x:c r="AA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 t="n">
        <x:f>SUM(F138:N138)</x:f>
        <x:v>0</x:v>
      </x:c>
      <x:c r="P138" s="12" t="str">
        <x:f>IF(O138="","",IF(O138&lt;=14,"Tier 1 - Minimal",IF(O138&lt;=21,"Tier 2 - Limited",IF(O138&lt;=28,"Tier 3 - High","Tier 4 - Critical"))))</x:f>
      </x:c>
      <x:c r="Q138" s="12"/>
      <x:c r="R138" s="12" t="str">
        <x:f>IF(O138="","",IF(Q138="Yes - Tier 4","Tier 4 - Critical",IF(Q138="Yes - Tier 3",IF(O138&lt;=28,"Tier 3 - High",P138),P138)))</x:f>
      </x:c>
      <x:c r="S138" s="12"/>
      <x:c r="T138" s="12"/>
      <x:c r="U138" s="12"/>
      <x:c r="V138" s="12"/>
      <x:c r="W138" s="12" t="str">
        <x:f>IF(V138="","",IF(V138&lt;=14,"Tier 1 - Minimal",IF(V138&lt;=21,"Tier 2 - Limited",IF(V138&lt;=28,"Tier 3 - High","Tier 4 - Critical"))))</x:f>
      </x:c>
      <x:c r="X138" s="12"/>
      <x:c r="Y138" s="12"/>
      <x:c r="Z138" s="14"/>
      <x:c r="AA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 t="n">
        <x:f>SUM(F139:N139)</x:f>
        <x:v>0</x:v>
      </x:c>
      <x:c r="P139" s="12" t="str">
        <x:f>IF(O139="","",IF(O139&lt;=14,"Tier 1 - Minimal",IF(O139&lt;=21,"Tier 2 - Limited",IF(O139&lt;=28,"Tier 3 - High","Tier 4 - Critical"))))</x:f>
      </x:c>
      <x:c r="Q139" s="12"/>
      <x:c r="R139" s="12" t="str">
        <x:f>IF(O139="","",IF(Q139="Yes - Tier 4","Tier 4 - Critical",IF(Q139="Yes - Tier 3",IF(O139&lt;=28,"Tier 3 - High",P139),P139)))</x:f>
      </x:c>
      <x:c r="S139" s="12"/>
      <x:c r="T139" s="12"/>
      <x:c r="U139" s="12"/>
      <x:c r="V139" s="12"/>
      <x:c r="W139" s="12" t="str">
        <x:f>IF(V139="","",IF(V139&lt;=14,"Tier 1 - Minimal",IF(V139&lt;=21,"Tier 2 - Limited",IF(V139&lt;=28,"Tier 3 - High","Tier 4 - Critical"))))</x:f>
      </x:c>
      <x:c r="X139" s="12"/>
      <x:c r="Y139" s="12"/>
      <x:c r="Z139" s="14"/>
      <x:c r="AA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 t="n">
        <x:f>SUM(F140:N140)</x:f>
        <x:v>0</x:v>
      </x:c>
      <x:c r="P140" s="12" t="str">
        <x:f>IF(O140="","",IF(O140&lt;=14,"Tier 1 - Minimal",IF(O140&lt;=21,"Tier 2 - Limited",IF(O140&lt;=28,"Tier 3 - High","Tier 4 - Critical"))))</x:f>
      </x:c>
      <x:c r="Q140" s="12"/>
      <x:c r="R140" s="12" t="str">
        <x:f>IF(O140="","",IF(Q140="Yes - Tier 4","Tier 4 - Critical",IF(Q140="Yes - Tier 3",IF(O140&lt;=28,"Tier 3 - High",P140),P140)))</x:f>
      </x:c>
      <x:c r="S140" s="12"/>
      <x:c r="T140" s="12"/>
      <x:c r="U140" s="12"/>
      <x:c r="V140" s="12"/>
      <x:c r="W140" s="12" t="str">
        <x:f>IF(V140="","",IF(V140&lt;=14,"Tier 1 - Minimal",IF(V140&lt;=21,"Tier 2 - Limited",IF(V140&lt;=28,"Tier 3 - High","Tier 4 - Critical"))))</x:f>
      </x:c>
      <x:c r="X140" s="12"/>
      <x:c r="Y140" s="12"/>
      <x:c r="Z140" s="14"/>
      <x:c r="AA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 t="n">
        <x:f>SUM(F141:N141)</x:f>
        <x:v>0</x:v>
      </x:c>
      <x:c r="P141" s="12" t="str">
        <x:f>IF(O141="","",IF(O141&lt;=14,"Tier 1 - Minimal",IF(O141&lt;=21,"Tier 2 - Limited",IF(O141&lt;=28,"Tier 3 - High","Tier 4 - Critical"))))</x:f>
      </x:c>
      <x:c r="Q141" s="12"/>
      <x:c r="R141" s="12" t="str">
        <x:f>IF(O141="","",IF(Q141="Yes - Tier 4","Tier 4 - Critical",IF(Q141="Yes - Tier 3",IF(O141&lt;=28,"Tier 3 - High",P141),P141)))</x:f>
      </x:c>
      <x:c r="S141" s="12"/>
      <x:c r="T141" s="12"/>
      <x:c r="U141" s="12"/>
      <x:c r="V141" s="12"/>
      <x:c r="W141" s="12" t="str">
        <x:f>IF(V141="","",IF(V141&lt;=14,"Tier 1 - Minimal",IF(V141&lt;=21,"Tier 2 - Limited",IF(V141&lt;=28,"Tier 3 - High","Tier 4 - Critical"))))</x:f>
      </x:c>
      <x:c r="X141" s="12"/>
      <x:c r="Y141" s="12"/>
      <x:c r="Z141" s="14"/>
      <x:c r="AA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 t="n">
        <x:f>SUM(F142:N142)</x:f>
        <x:v>0</x:v>
      </x:c>
      <x:c r="P142" s="12" t="str">
        <x:f>IF(O142="","",IF(O142&lt;=14,"Tier 1 - Minimal",IF(O142&lt;=21,"Tier 2 - Limited",IF(O142&lt;=28,"Tier 3 - High","Tier 4 - Critical"))))</x:f>
      </x:c>
      <x:c r="Q142" s="12"/>
      <x:c r="R142" s="12" t="str">
        <x:f>IF(O142="","",IF(Q142="Yes - Tier 4","Tier 4 - Critical",IF(Q142="Yes - Tier 3",IF(O142&lt;=28,"Tier 3 - High",P142),P142)))</x:f>
      </x:c>
      <x:c r="S142" s="12"/>
      <x:c r="T142" s="12"/>
      <x:c r="U142" s="12"/>
      <x:c r="V142" s="12"/>
      <x:c r="W142" s="12" t="str">
        <x:f>IF(V142="","",IF(V142&lt;=14,"Tier 1 - Minimal",IF(V142&lt;=21,"Tier 2 - Limited",IF(V142&lt;=28,"Tier 3 - High","Tier 4 - Critical"))))</x:f>
      </x:c>
      <x:c r="X142" s="12"/>
      <x:c r="Y142" s="12"/>
      <x:c r="Z142" s="14"/>
      <x:c r="AA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 t="n">
        <x:f>SUM(F143:N143)</x:f>
        <x:v>0</x:v>
      </x:c>
      <x:c r="P143" s="12" t="str">
        <x:f>IF(O143="","",IF(O143&lt;=14,"Tier 1 - Minimal",IF(O143&lt;=21,"Tier 2 - Limited",IF(O143&lt;=28,"Tier 3 - High","Tier 4 - Critical"))))</x:f>
      </x:c>
      <x:c r="Q143" s="12"/>
      <x:c r="R143" s="12" t="str">
        <x:f>IF(O143="","",IF(Q143="Yes - Tier 4","Tier 4 - Critical",IF(Q143="Yes - Tier 3",IF(O143&lt;=28,"Tier 3 - High",P143),P143)))</x:f>
      </x:c>
      <x:c r="S143" s="12"/>
      <x:c r="T143" s="12"/>
      <x:c r="U143" s="12"/>
      <x:c r="V143" s="12"/>
      <x:c r="W143" s="12" t="str">
        <x:f>IF(V143="","",IF(V143&lt;=14,"Tier 1 - Minimal",IF(V143&lt;=21,"Tier 2 - Limited",IF(V143&lt;=28,"Tier 3 - High","Tier 4 - Critical"))))</x:f>
      </x:c>
      <x:c r="X143" s="12"/>
      <x:c r="Y143" s="12"/>
      <x:c r="Z143" s="14"/>
      <x:c r="AA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 t="n">
        <x:f>SUM(F144:N144)</x:f>
        <x:v>0</x:v>
      </x:c>
      <x:c r="P144" s="12" t="str">
        <x:f>IF(O144="","",IF(O144&lt;=14,"Tier 1 - Minimal",IF(O144&lt;=21,"Tier 2 - Limited",IF(O144&lt;=28,"Tier 3 - High","Tier 4 - Critical"))))</x:f>
      </x:c>
      <x:c r="Q144" s="12"/>
      <x:c r="R144" s="12" t="str">
        <x:f>IF(O144="","",IF(Q144="Yes - Tier 4","Tier 4 - Critical",IF(Q144="Yes - Tier 3",IF(O144&lt;=28,"Tier 3 - High",P144),P144)))</x:f>
      </x:c>
      <x:c r="S144" s="12"/>
      <x:c r="T144" s="12"/>
      <x:c r="U144" s="12"/>
      <x:c r="V144" s="12"/>
      <x:c r="W144" s="12" t="str">
        <x:f>IF(V144="","",IF(V144&lt;=14,"Tier 1 - Minimal",IF(V144&lt;=21,"Tier 2 - Limited",IF(V144&lt;=28,"Tier 3 - High","Tier 4 - Critical"))))</x:f>
      </x:c>
      <x:c r="X144" s="12"/>
      <x:c r="Y144" s="12"/>
      <x:c r="Z144" s="14"/>
      <x:c r="AA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 t="n">
        <x:f>SUM(F145:N145)</x:f>
        <x:v>0</x:v>
      </x:c>
      <x:c r="P145" s="12" t="str">
        <x:f>IF(O145="","",IF(O145&lt;=14,"Tier 1 - Minimal",IF(O145&lt;=21,"Tier 2 - Limited",IF(O145&lt;=28,"Tier 3 - High","Tier 4 - Critical"))))</x:f>
      </x:c>
      <x:c r="Q145" s="12"/>
      <x:c r="R145" s="12" t="str">
        <x:f>IF(O145="","",IF(Q145="Yes - Tier 4","Tier 4 - Critical",IF(Q145="Yes - Tier 3",IF(O145&lt;=28,"Tier 3 - High",P145),P145)))</x:f>
      </x:c>
      <x:c r="S145" s="12"/>
      <x:c r="T145" s="12"/>
      <x:c r="U145" s="12"/>
      <x:c r="V145" s="12"/>
      <x:c r="W145" s="12" t="str">
        <x:f>IF(V145="","",IF(V145&lt;=14,"Tier 1 - Minimal",IF(V145&lt;=21,"Tier 2 - Limited",IF(V145&lt;=28,"Tier 3 - High","Tier 4 - Critical"))))</x:f>
      </x:c>
      <x:c r="X145" s="12"/>
      <x:c r="Y145" s="12"/>
      <x:c r="Z145" s="14"/>
      <x:c r="AA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 t="n">
        <x:f>SUM(F146:N146)</x:f>
        <x:v>0</x:v>
      </x:c>
      <x:c r="P146" s="12" t="str">
        <x:f>IF(O146="","",IF(O146&lt;=14,"Tier 1 - Minimal",IF(O146&lt;=21,"Tier 2 - Limited",IF(O146&lt;=28,"Tier 3 - High","Tier 4 - Critical"))))</x:f>
      </x:c>
      <x:c r="Q146" s="12"/>
      <x:c r="R146" s="12" t="str">
        <x:f>IF(O146="","",IF(Q146="Yes - Tier 4","Tier 4 - Critical",IF(Q146="Yes - Tier 3",IF(O146&lt;=28,"Tier 3 - High",P146),P146)))</x:f>
      </x:c>
      <x:c r="S146" s="12"/>
      <x:c r="T146" s="12"/>
      <x:c r="U146" s="12"/>
      <x:c r="V146" s="12"/>
      <x:c r="W146" s="12" t="str">
        <x:f>IF(V146="","",IF(V146&lt;=14,"Tier 1 - Minimal",IF(V146&lt;=21,"Tier 2 - Limited",IF(V146&lt;=28,"Tier 3 - High","Tier 4 - Critical"))))</x:f>
      </x:c>
      <x:c r="X146" s="12"/>
      <x:c r="Y146" s="12"/>
      <x:c r="Z146" s="14"/>
      <x:c r="AA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 t="n">
        <x:f>SUM(F147:N147)</x:f>
        <x:v>0</x:v>
      </x:c>
      <x:c r="P147" s="12" t="str">
        <x:f>IF(O147="","",IF(O147&lt;=14,"Tier 1 - Minimal",IF(O147&lt;=21,"Tier 2 - Limited",IF(O147&lt;=28,"Tier 3 - High","Tier 4 - Critical"))))</x:f>
      </x:c>
      <x:c r="Q147" s="12"/>
      <x:c r="R147" s="12" t="str">
        <x:f>IF(O147="","",IF(Q147="Yes - Tier 4","Tier 4 - Critical",IF(Q147="Yes - Tier 3",IF(O147&lt;=28,"Tier 3 - High",P147),P147)))</x:f>
      </x:c>
      <x:c r="S147" s="12"/>
      <x:c r="T147" s="12"/>
      <x:c r="U147" s="12"/>
      <x:c r="V147" s="12"/>
      <x:c r="W147" s="12" t="str">
        <x:f>IF(V147="","",IF(V147&lt;=14,"Tier 1 - Minimal",IF(V147&lt;=21,"Tier 2 - Limited",IF(V147&lt;=28,"Tier 3 - High","Tier 4 - Critical"))))</x:f>
      </x:c>
      <x:c r="X147" s="12"/>
      <x:c r="Y147" s="12"/>
      <x:c r="Z147" s="14"/>
      <x:c r="AA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 t="n">
        <x:f>SUM(F148:N148)</x:f>
        <x:v>0</x:v>
      </x:c>
      <x:c r="P148" s="12" t="str">
        <x:f>IF(O148="","",IF(O148&lt;=14,"Tier 1 - Minimal",IF(O148&lt;=21,"Tier 2 - Limited",IF(O148&lt;=28,"Tier 3 - High","Tier 4 - Critical"))))</x:f>
      </x:c>
      <x:c r="Q148" s="12"/>
      <x:c r="R148" s="12" t="str">
        <x:f>IF(O148="","",IF(Q148="Yes - Tier 4","Tier 4 - Critical",IF(Q148="Yes - Tier 3",IF(O148&lt;=28,"Tier 3 - High",P148),P148)))</x:f>
      </x:c>
      <x:c r="S148" s="12"/>
      <x:c r="T148" s="12"/>
      <x:c r="U148" s="12"/>
      <x:c r="V148" s="12"/>
      <x:c r="W148" s="12" t="str">
        <x:f>IF(V148="","",IF(V148&lt;=14,"Tier 1 - Minimal",IF(V148&lt;=21,"Tier 2 - Limited",IF(V148&lt;=28,"Tier 3 - High","Tier 4 - Critical"))))</x:f>
      </x:c>
      <x:c r="X148" s="12"/>
      <x:c r="Y148" s="12"/>
      <x:c r="Z148" s="14"/>
      <x:c r="AA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 t="n">
        <x:f>SUM(F149:N149)</x:f>
        <x:v>0</x:v>
      </x:c>
      <x:c r="P149" s="12" t="str">
        <x:f>IF(O149="","",IF(O149&lt;=14,"Tier 1 - Minimal",IF(O149&lt;=21,"Tier 2 - Limited",IF(O149&lt;=28,"Tier 3 - High","Tier 4 - Critical"))))</x:f>
      </x:c>
      <x:c r="Q149" s="12"/>
      <x:c r="R149" s="12" t="str">
        <x:f>IF(O149="","",IF(Q149="Yes - Tier 4","Tier 4 - Critical",IF(Q149="Yes - Tier 3",IF(O149&lt;=28,"Tier 3 - High",P149),P149)))</x:f>
      </x:c>
      <x:c r="S149" s="12"/>
      <x:c r="T149" s="12"/>
      <x:c r="U149" s="12"/>
      <x:c r="V149" s="12"/>
      <x:c r="W149" s="12" t="str">
        <x:f>IF(V149="","",IF(V149&lt;=14,"Tier 1 - Minimal",IF(V149&lt;=21,"Tier 2 - Limited",IF(V149&lt;=28,"Tier 3 - High","Tier 4 - Critical"))))</x:f>
      </x:c>
      <x:c r="X149" s="12"/>
      <x:c r="Y149" s="12"/>
      <x:c r="Z149" s="14"/>
      <x:c r="AA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 t="n">
        <x:f>SUM(F150:N150)</x:f>
        <x:v>0</x:v>
      </x:c>
      <x:c r="P150" s="12" t="str">
        <x:f>IF(O150="","",IF(O150&lt;=14,"Tier 1 - Minimal",IF(O150&lt;=21,"Tier 2 - Limited",IF(O150&lt;=28,"Tier 3 - High","Tier 4 - Critical"))))</x:f>
      </x:c>
      <x:c r="Q150" s="12"/>
      <x:c r="R150" s="12" t="str">
        <x:f>IF(O150="","",IF(Q150="Yes - Tier 4","Tier 4 - Critical",IF(Q150="Yes - Tier 3",IF(O150&lt;=28,"Tier 3 - High",P150),P150)))</x:f>
      </x:c>
      <x:c r="S150" s="12"/>
      <x:c r="T150" s="12"/>
      <x:c r="U150" s="12"/>
      <x:c r="V150" s="12"/>
      <x:c r="W150" s="12" t="str">
        <x:f>IF(V150="","",IF(V150&lt;=14,"Tier 1 - Minimal",IF(V150&lt;=21,"Tier 2 - Limited",IF(V150&lt;=28,"Tier 3 - High","Tier 4 - Critical"))))</x:f>
      </x:c>
      <x:c r="X150" s="12"/>
      <x:c r="Y150" s="12"/>
      <x:c r="Z150" s="14"/>
      <x:c r="AA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 t="n">
        <x:f>SUM(F151:N151)</x:f>
        <x:v>0</x:v>
      </x:c>
      <x:c r="P151" s="12" t="str">
        <x:f>IF(O151="","",IF(O151&lt;=14,"Tier 1 - Minimal",IF(O151&lt;=21,"Tier 2 - Limited",IF(O151&lt;=28,"Tier 3 - High","Tier 4 - Critical"))))</x:f>
      </x:c>
      <x:c r="Q151" s="12"/>
      <x:c r="R151" s="12" t="str">
        <x:f>IF(O151="","",IF(Q151="Yes - Tier 4","Tier 4 - Critical",IF(Q151="Yes - Tier 3",IF(O151&lt;=28,"Tier 3 - High",P151),P151)))</x:f>
      </x:c>
      <x:c r="S151" s="12"/>
      <x:c r="T151" s="12"/>
      <x:c r="U151" s="12"/>
      <x:c r="V151" s="12"/>
      <x:c r="W151" s="12" t="str">
        <x:f>IF(V151="","",IF(V151&lt;=14,"Tier 1 - Minimal",IF(V151&lt;=21,"Tier 2 - Limited",IF(V151&lt;=28,"Tier 3 - High","Tier 4 - Critical"))))</x:f>
      </x:c>
      <x:c r="X151" s="12"/>
      <x:c r="Y151" s="12"/>
      <x:c r="Z151" s="14"/>
      <x:c r="AA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 t="n">
        <x:f>SUM(F152:N152)</x:f>
        <x:v>0</x:v>
      </x:c>
      <x:c r="P152" s="12" t="str">
        <x:f>IF(O152="","",IF(O152&lt;=14,"Tier 1 - Minimal",IF(O152&lt;=21,"Tier 2 - Limited",IF(O152&lt;=28,"Tier 3 - High","Tier 4 - Critical"))))</x:f>
      </x:c>
      <x:c r="Q152" s="12"/>
      <x:c r="R152" s="12" t="str">
        <x:f>IF(O152="","",IF(Q152="Yes - Tier 4","Tier 4 - Critical",IF(Q152="Yes - Tier 3",IF(O152&lt;=28,"Tier 3 - High",P152),P152)))</x:f>
      </x:c>
      <x:c r="S152" s="12"/>
      <x:c r="T152" s="12"/>
      <x:c r="U152" s="12"/>
      <x:c r="V152" s="12"/>
      <x:c r="W152" s="12" t="str">
        <x:f>IF(V152="","",IF(V152&lt;=14,"Tier 1 - Minimal",IF(V152&lt;=21,"Tier 2 - Limited",IF(V152&lt;=28,"Tier 3 - High","Tier 4 - Critical"))))</x:f>
      </x:c>
      <x:c r="X152" s="12"/>
      <x:c r="Y152" s="12"/>
      <x:c r="Z152" s="14"/>
      <x:c r="AA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 t="n">
        <x:f>SUM(F153:N153)</x:f>
        <x:v>0</x:v>
      </x:c>
      <x:c r="P153" s="12" t="str">
        <x:f>IF(O153="","",IF(O153&lt;=14,"Tier 1 - Minimal",IF(O153&lt;=21,"Tier 2 - Limited",IF(O153&lt;=28,"Tier 3 - High","Tier 4 - Critical"))))</x:f>
      </x:c>
      <x:c r="Q153" s="12"/>
      <x:c r="R153" s="12" t="str">
        <x:f>IF(O153="","",IF(Q153="Yes - Tier 4","Tier 4 - Critical",IF(Q153="Yes - Tier 3",IF(O153&lt;=28,"Tier 3 - High",P153),P153)))</x:f>
      </x:c>
      <x:c r="S153" s="12"/>
      <x:c r="T153" s="12"/>
      <x:c r="U153" s="12"/>
      <x:c r="V153" s="12"/>
      <x:c r="W153" s="12" t="str">
        <x:f>IF(V153="","",IF(V153&lt;=14,"Tier 1 - Minimal",IF(V153&lt;=21,"Tier 2 - Limited",IF(V153&lt;=28,"Tier 3 - High","Tier 4 - Critical"))))</x:f>
      </x:c>
      <x:c r="X153" s="12"/>
      <x:c r="Y153" s="12"/>
      <x:c r="Z153" s="14"/>
      <x:c r="AA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 t="n">
        <x:f>SUM(F154:N154)</x:f>
        <x:v>0</x:v>
      </x:c>
      <x:c r="P154" s="12" t="str">
        <x:f>IF(O154="","",IF(O154&lt;=14,"Tier 1 - Minimal",IF(O154&lt;=21,"Tier 2 - Limited",IF(O154&lt;=28,"Tier 3 - High","Tier 4 - Critical"))))</x:f>
      </x:c>
      <x:c r="Q154" s="12"/>
      <x:c r="R154" s="12" t="str">
        <x:f>IF(O154="","",IF(Q154="Yes - Tier 4","Tier 4 - Critical",IF(Q154="Yes - Tier 3",IF(O154&lt;=28,"Tier 3 - High",P154),P154)))</x:f>
      </x:c>
      <x:c r="S154" s="12"/>
      <x:c r="T154" s="12"/>
      <x:c r="U154" s="12"/>
      <x:c r="V154" s="12"/>
      <x:c r="W154" s="12" t="str">
        <x:f>IF(V154="","",IF(V154&lt;=14,"Tier 1 - Minimal",IF(V154&lt;=21,"Tier 2 - Limited",IF(V154&lt;=28,"Tier 3 - High","Tier 4 - Critical"))))</x:f>
      </x:c>
      <x:c r="X154" s="12"/>
      <x:c r="Y154" s="12"/>
      <x:c r="Z154" s="14"/>
      <x:c r="AA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 t="n">
        <x:f>SUM(F155:N155)</x:f>
        <x:v>0</x:v>
      </x:c>
      <x:c r="P155" s="12" t="str">
        <x:f>IF(O155="","",IF(O155&lt;=14,"Tier 1 - Minimal",IF(O155&lt;=21,"Tier 2 - Limited",IF(O155&lt;=28,"Tier 3 - High","Tier 4 - Critical"))))</x:f>
      </x:c>
      <x:c r="Q155" s="12"/>
      <x:c r="R155" s="12" t="str">
        <x:f>IF(O155="","",IF(Q155="Yes - Tier 4","Tier 4 - Critical",IF(Q155="Yes - Tier 3",IF(O155&lt;=28,"Tier 3 - High",P155),P155)))</x:f>
      </x:c>
      <x:c r="S155" s="12"/>
      <x:c r="T155" s="12"/>
      <x:c r="U155" s="12"/>
      <x:c r="V155" s="12"/>
      <x:c r="W155" s="12" t="str">
        <x:f>IF(V155="","",IF(V155&lt;=14,"Tier 1 - Minimal",IF(V155&lt;=21,"Tier 2 - Limited",IF(V155&lt;=28,"Tier 3 - High","Tier 4 - Critical"))))</x:f>
      </x:c>
      <x:c r="X155" s="12"/>
      <x:c r="Y155" s="12"/>
      <x:c r="Z155" s="14"/>
      <x:c r="AA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 t="n">
        <x:f>SUM(F156:N156)</x:f>
        <x:v>0</x:v>
      </x:c>
      <x:c r="P156" s="12" t="str">
        <x:f>IF(O156="","",IF(O156&lt;=14,"Tier 1 - Minimal",IF(O156&lt;=21,"Tier 2 - Limited",IF(O156&lt;=28,"Tier 3 - High","Tier 4 - Critical"))))</x:f>
      </x:c>
      <x:c r="Q156" s="12"/>
      <x:c r="R156" s="12" t="str">
        <x:f>IF(O156="","",IF(Q156="Yes - Tier 4","Tier 4 - Critical",IF(Q156="Yes - Tier 3",IF(O156&lt;=28,"Tier 3 - High",P156),P156)))</x:f>
      </x:c>
      <x:c r="S156" s="12"/>
      <x:c r="T156" s="12"/>
      <x:c r="U156" s="12"/>
      <x:c r="V156" s="12"/>
      <x:c r="W156" s="12" t="str">
        <x:f>IF(V156="","",IF(V156&lt;=14,"Tier 1 - Minimal",IF(V156&lt;=21,"Tier 2 - Limited",IF(V156&lt;=28,"Tier 3 - High","Tier 4 - Critical"))))</x:f>
      </x:c>
      <x:c r="X156" s="12"/>
      <x:c r="Y156" s="12"/>
      <x:c r="Z156" s="14"/>
      <x:c r="AA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 t="n">
        <x:f>SUM(F157:N157)</x:f>
        <x:v>0</x:v>
      </x:c>
      <x:c r="P157" s="12" t="str">
        <x:f>IF(O157="","",IF(O157&lt;=14,"Tier 1 - Minimal",IF(O157&lt;=21,"Tier 2 - Limited",IF(O157&lt;=28,"Tier 3 - High","Tier 4 - Critical"))))</x:f>
      </x:c>
      <x:c r="Q157" s="12"/>
      <x:c r="R157" s="12" t="str">
        <x:f>IF(O157="","",IF(Q157="Yes - Tier 4","Tier 4 - Critical",IF(Q157="Yes - Tier 3",IF(O157&lt;=28,"Tier 3 - High",P157),P157)))</x:f>
      </x:c>
      <x:c r="S157" s="12"/>
      <x:c r="T157" s="12"/>
      <x:c r="U157" s="12"/>
      <x:c r="V157" s="12"/>
      <x:c r="W157" s="12" t="str">
        <x:f>IF(V157="","",IF(V157&lt;=14,"Tier 1 - Minimal",IF(V157&lt;=21,"Tier 2 - Limited",IF(V157&lt;=28,"Tier 3 - High","Tier 4 - Critical"))))</x:f>
      </x:c>
      <x:c r="X157" s="12"/>
      <x:c r="Y157" s="12"/>
      <x:c r="Z157" s="14"/>
      <x:c r="AA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 t="n">
        <x:f>SUM(F158:N158)</x:f>
        <x:v>0</x:v>
      </x:c>
      <x:c r="P158" s="12" t="str">
        <x:f>IF(O158="","",IF(O158&lt;=14,"Tier 1 - Minimal",IF(O158&lt;=21,"Tier 2 - Limited",IF(O158&lt;=28,"Tier 3 - High","Tier 4 - Critical"))))</x:f>
      </x:c>
      <x:c r="Q158" s="12"/>
      <x:c r="R158" s="12" t="str">
        <x:f>IF(O158="","",IF(Q158="Yes - Tier 4","Tier 4 - Critical",IF(Q158="Yes - Tier 3",IF(O158&lt;=28,"Tier 3 - High",P158),P158)))</x:f>
      </x:c>
      <x:c r="S158" s="12"/>
      <x:c r="T158" s="12"/>
      <x:c r="U158" s="12"/>
      <x:c r="V158" s="12"/>
      <x:c r="W158" s="12" t="str">
        <x:f>IF(V158="","",IF(V158&lt;=14,"Tier 1 - Minimal",IF(V158&lt;=21,"Tier 2 - Limited",IF(V158&lt;=28,"Tier 3 - High","Tier 4 - Critical"))))</x:f>
      </x:c>
      <x:c r="X158" s="12"/>
      <x:c r="Y158" s="12"/>
      <x:c r="Z158" s="14"/>
      <x:c r="AA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 t="n">
        <x:f>SUM(F159:N159)</x:f>
        <x:v>0</x:v>
      </x:c>
      <x:c r="P159" s="12" t="str">
        <x:f>IF(O159="","",IF(O159&lt;=14,"Tier 1 - Minimal",IF(O159&lt;=21,"Tier 2 - Limited",IF(O159&lt;=28,"Tier 3 - High","Tier 4 - Critical"))))</x:f>
      </x:c>
      <x:c r="Q159" s="12"/>
      <x:c r="R159" s="12" t="str">
        <x:f>IF(O159="","",IF(Q159="Yes - Tier 4","Tier 4 - Critical",IF(Q159="Yes - Tier 3",IF(O159&lt;=28,"Tier 3 - High",P159),P159)))</x:f>
      </x:c>
      <x:c r="S159" s="12"/>
      <x:c r="T159" s="12"/>
      <x:c r="U159" s="12"/>
      <x:c r="V159" s="12"/>
      <x:c r="W159" s="12" t="str">
        <x:f>IF(V159="","",IF(V159&lt;=14,"Tier 1 - Minimal",IF(V159&lt;=21,"Tier 2 - Limited",IF(V159&lt;=28,"Tier 3 - High","Tier 4 - Critical"))))</x:f>
      </x:c>
      <x:c r="X159" s="12"/>
      <x:c r="Y159" s="12"/>
      <x:c r="Z159" s="14"/>
      <x:c r="AA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 t="n">
        <x:f>SUM(F160:N160)</x:f>
        <x:v>0</x:v>
      </x:c>
      <x:c r="P160" s="12" t="str">
        <x:f>IF(O160="","",IF(O160&lt;=14,"Tier 1 - Minimal",IF(O160&lt;=21,"Tier 2 - Limited",IF(O160&lt;=28,"Tier 3 - High","Tier 4 - Critical"))))</x:f>
      </x:c>
      <x:c r="Q160" s="12"/>
      <x:c r="R160" s="12" t="str">
        <x:f>IF(O160="","",IF(Q160="Yes - Tier 4","Tier 4 - Critical",IF(Q160="Yes - Tier 3",IF(O160&lt;=28,"Tier 3 - High",P160),P160)))</x:f>
      </x:c>
      <x:c r="S160" s="12"/>
      <x:c r="T160" s="12"/>
      <x:c r="U160" s="12"/>
      <x:c r="V160" s="12"/>
      <x:c r="W160" s="12" t="str">
        <x:f>IF(V160="","",IF(V160&lt;=14,"Tier 1 - Minimal",IF(V160&lt;=21,"Tier 2 - Limited",IF(V160&lt;=28,"Tier 3 - High","Tier 4 - Critical"))))</x:f>
      </x:c>
      <x:c r="X160" s="12"/>
      <x:c r="Y160" s="12"/>
      <x:c r="Z160" s="14"/>
      <x:c r="AA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 t="n">
        <x:f>SUM(F161:N161)</x:f>
        <x:v>0</x:v>
      </x:c>
      <x:c r="P161" s="12" t="str">
        <x:f>IF(O161="","",IF(O161&lt;=14,"Tier 1 - Minimal",IF(O161&lt;=21,"Tier 2 - Limited",IF(O161&lt;=28,"Tier 3 - High","Tier 4 - Critical"))))</x:f>
      </x:c>
      <x:c r="Q161" s="12"/>
      <x:c r="R161" s="12" t="str">
        <x:f>IF(O161="","",IF(Q161="Yes - Tier 4","Tier 4 - Critical",IF(Q161="Yes - Tier 3",IF(O161&lt;=28,"Tier 3 - High",P161),P161)))</x:f>
      </x:c>
      <x:c r="S161" s="12"/>
      <x:c r="T161" s="12"/>
      <x:c r="U161" s="12"/>
      <x:c r="V161" s="12"/>
      <x:c r="W161" s="12" t="str">
        <x:f>IF(V161="","",IF(V161&lt;=14,"Tier 1 - Minimal",IF(V161&lt;=21,"Tier 2 - Limited",IF(V161&lt;=28,"Tier 3 - High","Tier 4 - Critical"))))</x:f>
      </x:c>
      <x:c r="X161" s="12"/>
      <x:c r="Y161" s="12"/>
      <x:c r="Z161" s="14"/>
      <x:c r="AA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 t="n">
        <x:f>SUM(F162:N162)</x:f>
        <x:v>0</x:v>
      </x:c>
      <x:c r="P162" s="12" t="str">
        <x:f>IF(O162="","",IF(O162&lt;=14,"Tier 1 - Minimal",IF(O162&lt;=21,"Tier 2 - Limited",IF(O162&lt;=28,"Tier 3 - High","Tier 4 - Critical"))))</x:f>
      </x:c>
      <x:c r="Q162" s="12"/>
      <x:c r="R162" s="12" t="str">
        <x:f>IF(O162="","",IF(Q162="Yes - Tier 4","Tier 4 - Critical",IF(Q162="Yes - Tier 3",IF(O162&lt;=28,"Tier 3 - High",P162),P162)))</x:f>
      </x:c>
      <x:c r="S162" s="12"/>
      <x:c r="T162" s="12"/>
      <x:c r="U162" s="12"/>
      <x:c r="V162" s="12"/>
      <x:c r="W162" s="12" t="str">
        <x:f>IF(V162="","",IF(V162&lt;=14,"Tier 1 - Minimal",IF(V162&lt;=21,"Tier 2 - Limited",IF(V162&lt;=28,"Tier 3 - High","Tier 4 - Critical"))))</x:f>
      </x:c>
      <x:c r="X162" s="12"/>
      <x:c r="Y162" s="12"/>
      <x:c r="Z162" s="14"/>
      <x:c r="AA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 t="n">
        <x:f>SUM(F163:N163)</x:f>
        <x:v>0</x:v>
      </x:c>
      <x:c r="P163" s="12" t="str">
        <x:f>IF(O163="","",IF(O163&lt;=14,"Tier 1 - Minimal",IF(O163&lt;=21,"Tier 2 - Limited",IF(O163&lt;=28,"Tier 3 - High","Tier 4 - Critical"))))</x:f>
      </x:c>
      <x:c r="Q163" s="12"/>
      <x:c r="R163" s="12" t="str">
        <x:f>IF(O163="","",IF(Q163="Yes - Tier 4","Tier 4 - Critical",IF(Q163="Yes - Tier 3",IF(O163&lt;=28,"Tier 3 - High",P163),P163)))</x:f>
      </x:c>
      <x:c r="S163" s="12"/>
      <x:c r="T163" s="12"/>
      <x:c r="U163" s="12"/>
      <x:c r="V163" s="12"/>
      <x:c r="W163" s="12" t="str">
        <x:f>IF(V163="","",IF(V163&lt;=14,"Tier 1 - Minimal",IF(V163&lt;=21,"Tier 2 - Limited",IF(V163&lt;=28,"Tier 3 - High","Tier 4 - Critical"))))</x:f>
      </x:c>
      <x:c r="X163" s="12"/>
      <x:c r="Y163" s="12"/>
      <x:c r="Z163" s="14"/>
      <x:c r="AA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 t="n">
        <x:f>SUM(F164:N164)</x:f>
        <x:v>0</x:v>
      </x:c>
      <x:c r="P164" s="12" t="str">
        <x:f>IF(O164="","",IF(O164&lt;=14,"Tier 1 - Minimal",IF(O164&lt;=21,"Tier 2 - Limited",IF(O164&lt;=28,"Tier 3 - High","Tier 4 - Critical"))))</x:f>
      </x:c>
      <x:c r="Q164" s="12"/>
      <x:c r="R164" s="12" t="str">
        <x:f>IF(O164="","",IF(Q164="Yes - Tier 4","Tier 4 - Critical",IF(Q164="Yes - Tier 3",IF(O164&lt;=28,"Tier 3 - High",P164),P164)))</x:f>
      </x:c>
      <x:c r="S164" s="12"/>
      <x:c r="T164" s="12"/>
      <x:c r="U164" s="12"/>
      <x:c r="V164" s="12"/>
      <x:c r="W164" s="12" t="str">
        <x:f>IF(V164="","",IF(V164&lt;=14,"Tier 1 - Minimal",IF(V164&lt;=21,"Tier 2 - Limited",IF(V164&lt;=28,"Tier 3 - High","Tier 4 - Critical"))))</x:f>
      </x:c>
      <x:c r="X164" s="12"/>
      <x:c r="Y164" s="12"/>
      <x:c r="Z164" s="14"/>
      <x:c r="AA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 t="n">
        <x:f>SUM(F165:N165)</x:f>
        <x:v>0</x:v>
      </x:c>
      <x:c r="P165" s="12" t="str">
        <x:f>IF(O165="","",IF(O165&lt;=14,"Tier 1 - Minimal",IF(O165&lt;=21,"Tier 2 - Limited",IF(O165&lt;=28,"Tier 3 - High","Tier 4 - Critical"))))</x:f>
      </x:c>
      <x:c r="Q165" s="12"/>
      <x:c r="R165" s="12" t="str">
        <x:f>IF(O165="","",IF(Q165="Yes - Tier 4","Tier 4 - Critical",IF(Q165="Yes - Tier 3",IF(O165&lt;=28,"Tier 3 - High",P165),P165)))</x:f>
      </x:c>
      <x:c r="S165" s="12"/>
      <x:c r="T165" s="12"/>
      <x:c r="U165" s="12"/>
      <x:c r="V165" s="12"/>
      <x:c r="W165" s="12" t="str">
        <x:f>IF(V165="","",IF(V165&lt;=14,"Tier 1 - Minimal",IF(V165&lt;=21,"Tier 2 - Limited",IF(V165&lt;=28,"Tier 3 - High","Tier 4 - Critical"))))</x:f>
      </x:c>
      <x:c r="X165" s="12"/>
      <x:c r="Y165" s="12"/>
      <x:c r="Z165" s="14"/>
      <x:c r="AA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 t="n">
        <x:f>SUM(F166:N166)</x:f>
        <x:v>0</x:v>
      </x:c>
      <x:c r="P166" s="12" t="str">
        <x:f>IF(O166="","",IF(O166&lt;=14,"Tier 1 - Minimal",IF(O166&lt;=21,"Tier 2 - Limited",IF(O166&lt;=28,"Tier 3 - High","Tier 4 - Critical"))))</x:f>
      </x:c>
      <x:c r="Q166" s="12"/>
      <x:c r="R166" s="12" t="str">
        <x:f>IF(O166="","",IF(Q166="Yes - Tier 4","Tier 4 - Critical",IF(Q166="Yes - Tier 3",IF(O166&lt;=28,"Tier 3 - High",P166),P166)))</x:f>
      </x:c>
      <x:c r="S166" s="12"/>
      <x:c r="T166" s="12"/>
      <x:c r="U166" s="12"/>
      <x:c r="V166" s="12"/>
      <x:c r="W166" s="12" t="str">
        <x:f>IF(V166="","",IF(V166&lt;=14,"Tier 1 - Minimal",IF(V166&lt;=21,"Tier 2 - Limited",IF(V166&lt;=28,"Tier 3 - High","Tier 4 - Critical"))))</x:f>
      </x:c>
      <x:c r="X166" s="12"/>
      <x:c r="Y166" s="12"/>
      <x:c r="Z166" s="14"/>
      <x:c r="AA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 t="n">
        <x:f>SUM(F167:N167)</x:f>
        <x:v>0</x:v>
      </x:c>
      <x:c r="P167" s="12" t="str">
        <x:f>IF(O167="","",IF(O167&lt;=14,"Tier 1 - Minimal",IF(O167&lt;=21,"Tier 2 - Limited",IF(O167&lt;=28,"Tier 3 - High","Tier 4 - Critical"))))</x:f>
      </x:c>
      <x:c r="Q167" s="12"/>
      <x:c r="R167" s="12" t="str">
        <x:f>IF(O167="","",IF(Q167="Yes - Tier 4","Tier 4 - Critical",IF(Q167="Yes - Tier 3",IF(O167&lt;=28,"Tier 3 - High",P167),P167)))</x:f>
      </x:c>
      <x:c r="S167" s="12"/>
      <x:c r="T167" s="12"/>
      <x:c r="U167" s="12"/>
      <x:c r="V167" s="12"/>
      <x:c r="W167" s="12" t="str">
        <x:f>IF(V167="","",IF(V167&lt;=14,"Tier 1 - Minimal",IF(V167&lt;=21,"Tier 2 - Limited",IF(V167&lt;=28,"Tier 3 - High","Tier 4 - Critical"))))</x:f>
      </x:c>
      <x:c r="X167" s="12"/>
      <x:c r="Y167" s="12"/>
      <x:c r="Z167" s="14"/>
      <x:c r="AA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 t="n">
        <x:f>SUM(F168:N168)</x:f>
        <x:v>0</x:v>
      </x:c>
      <x:c r="P168" s="12" t="str">
        <x:f>IF(O168="","",IF(O168&lt;=14,"Tier 1 - Minimal",IF(O168&lt;=21,"Tier 2 - Limited",IF(O168&lt;=28,"Tier 3 - High","Tier 4 - Critical"))))</x:f>
      </x:c>
      <x:c r="Q168" s="12"/>
      <x:c r="R168" s="12" t="str">
        <x:f>IF(O168="","",IF(Q168="Yes - Tier 4","Tier 4 - Critical",IF(Q168="Yes - Tier 3",IF(O168&lt;=28,"Tier 3 - High",P168),P168)))</x:f>
      </x:c>
      <x:c r="S168" s="12"/>
      <x:c r="T168" s="12"/>
      <x:c r="U168" s="12"/>
      <x:c r="V168" s="12"/>
      <x:c r="W168" s="12" t="str">
        <x:f>IF(V168="","",IF(V168&lt;=14,"Tier 1 - Minimal",IF(V168&lt;=21,"Tier 2 - Limited",IF(V168&lt;=28,"Tier 3 - High","Tier 4 - Critical"))))</x:f>
      </x:c>
      <x:c r="X168" s="12"/>
      <x:c r="Y168" s="12"/>
      <x:c r="Z168" s="14"/>
      <x:c r="AA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 t="n">
        <x:f>SUM(F169:N169)</x:f>
        <x:v>0</x:v>
      </x:c>
      <x:c r="P169" s="12" t="str">
        <x:f>IF(O169="","",IF(O169&lt;=14,"Tier 1 - Minimal",IF(O169&lt;=21,"Tier 2 - Limited",IF(O169&lt;=28,"Tier 3 - High","Tier 4 - Critical"))))</x:f>
      </x:c>
      <x:c r="Q169" s="12"/>
      <x:c r="R169" s="12" t="str">
        <x:f>IF(O169="","",IF(Q169="Yes - Tier 4","Tier 4 - Critical",IF(Q169="Yes - Tier 3",IF(O169&lt;=28,"Tier 3 - High",P169),P169)))</x:f>
      </x:c>
      <x:c r="S169" s="12"/>
      <x:c r="T169" s="12"/>
      <x:c r="U169" s="12"/>
      <x:c r="V169" s="12"/>
      <x:c r="W169" s="12" t="str">
        <x:f>IF(V169="","",IF(V169&lt;=14,"Tier 1 - Minimal",IF(V169&lt;=21,"Tier 2 - Limited",IF(V169&lt;=28,"Tier 3 - High","Tier 4 - Critical"))))</x:f>
      </x:c>
      <x:c r="X169" s="12"/>
      <x:c r="Y169" s="12"/>
      <x:c r="Z169" s="14"/>
      <x:c r="AA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 t="n">
        <x:f>SUM(F170:N170)</x:f>
        <x:v>0</x:v>
      </x:c>
      <x:c r="P170" s="12" t="str">
        <x:f>IF(O170="","",IF(O170&lt;=14,"Tier 1 - Minimal",IF(O170&lt;=21,"Tier 2 - Limited",IF(O170&lt;=28,"Tier 3 - High","Tier 4 - Critical"))))</x:f>
      </x:c>
      <x:c r="Q170" s="12"/>
      <x:c r="R170" s="12" t="str">
        <x:f>IF(O170="","",IF(Q170="Yes - Tier 4","Tier 4 - Critical",IF(Q170="Yes - Tier 3",IF(O170&lt;=28,"Tier 3 - High",P170),P170)))</x:f>
      </x:c>
      <x:c r="S170" s="12"/>
      <x:c r="T170" s="12"/>
      <x:c r="U170" s="12"/>
      <x:c r="V170" s="12"/>
      <x:c r="W170" s="12" t="str">
        <x:f>IF(V170="","",IF(V170&lt;=14,"Tier 1 - Minimal",IF(V170&lt;=21,"Tier 2 - Limited",IF(V170&lt;=28,"Tier 3 - High","Tier 4 - Critical"))))</x:f>
      </x:c>
      <x:c r="X170" s="12"/>
      <x:c r="Y170" s="12"/>
      <x:c r="Z170" s="14"/>
      <x:c r="AA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 t="n">
        <x:f>SUM(F171:N171)</x:f>
        <x:v>0</x:v>
      </x:c>
      <x:c r="P171" s="12" t="str">
        <x:f>IF(O171="","",IF(O171&lt;=14,"Tier 1 - Minimal",IF(O171&lt;=21,"Tier 2 - Limited",IF(O171&lt;=28,"Tier 3 - High","Tier 4 - Critical"))))</x:f>
      </x:c>
      <x:c r="Q171" s="12"/>
      <x:c r="R171" s="12" t="str">
        <x:f>IF(O171="","",IF(Q171="Yes - Tier 4","Tier 4 - Critical",IF(Q171="Yes - Tier 3",IF(O171&lt;=28,"Tier 3 - High",P171),P171)))</x:f>
      </x:c>
      <x:c r="S171" s="12"/>
      <x:c r="T171" s="12"/>
      <x:c r="U171" s="12"/>
      <x:c r="V171" s="12"/>
      <x:c r="W171" s="12" t="str">
        <x:f>IF(V171="","",IF(V171&lt;=14,"Tier 1 - Minimal",IF(V171&lt;=21,"Tier 2 - Limited",IF(V171&lt;=28,"Tier 3 - High","Tier 4 - Critical"))))</x:f>
      </x:c>
      <x:c r="X171" s="12"/>
      <x:c r="Y171" s="12"/>
      <x:c r="Z171" s="14"/>
      <x:c r="AA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 t="n">
        <x:f>SUM(F172:N172)</x:f>
        <x:v>0</x:v>
      </x:c>
      <x:c r="P172" s="12" t="str">
        <x:f>IF(O172="","",IF(O172&lt;=14,"Tier 1 - Minimal",IF(O172&lt;=21,"Tier 2 - Limited",IF(O172&lt;=28,"Tier 3 - High","Tier 4 - Critical"))))</x:f>
      </x:c>
      <x:c r="Q172" s="12"/>
      <x:c r="R172" s="12" t="str">
        <x:f>IF(O172="","",IF(Q172="Yes - Tier 4","Tier 4 - Critical",IF(Q172="Yes - Tier 3",IF(O172&lt;=28,"Tier 3 - High",P172),P172)))</x:f>
      </x:c>
      <x:c r="S172" s="12"/>
      <x:c r="T172" s="12"/>
      <x:c r="U172" s="12"/>
      <x:c r="V172" s="12"/>
      <x:c r="W172" s="12" t="str">
        <x:f>IF(V172="","",IF(V172&lt;=14,"Tier 1 - Minimal",IF(V172&lt;=21,"Tier 2 - Limited",IF(V172&lt;=28,"Tier 3 - High","Tier 4 - Critical"))))</x:f>
      </x:c>
      <x:c r="X172" s="12"/>
      <x:c r="Y172" s="12"/>
      <x:c r="Z172" s="14"/>
      <x:c r="AA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 t="n">
        <x:f>SUM(F173:N173)</x:f>
        <x:v>0</x:v>
      </x:c>
      <x:c r="P173" s="12" t="str">
        <x:f>IF(O173="","",IF(O173&lt;=14,"Tier 1 - Minimal",IF(O173&lt;=21,"Tier 2 - Limited",IF(O173&lt;=28,"Tier 3 - High","Tier 4 - Critical"))))</x:f>
      </x:c>
      <x:c r="Q173" s="12"/>
      <x:c r="R173" s="12" t="str">
        <x:f>IF(O173="","",IF(Q173="Yes - Tier 4","Tier 4 - Critical",IF(Q173="Yes - Tier 3",IF(O173&lt;=28,"Tier 3 - High",P173),P173)))</x:f>
      </x:c>
      <x:c r="S173" s="12"/>
      <x:c r="T173" s="12"/>
      <x:c r="U173" s="12"/>
      <x:c r="V173" s="12"/>
      <x:c r="W173" s="12" t="str">
        <x:f>IF(V173="","",IF(V173&lt;=14,"Tier 1 - Minimal",IF(V173&lt;=21,"Tier 2 - Limited",IF(V173&lt;=28,"Tier 3 - High","Tier 4 - Critical"))))</x:f>
      </x:c>
      <x:c r="X173" s="12"/>
      <x:c r="Y173" s="12"/>
      <x:c r="Z173" s="14"/>
      <x:c r="AA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 t="n">
        <x:f>SUM(F174:N174)</x:f>
        <x:v>0</x:v>
      </x:c>
      <x:c r="P174" s="12" t="str">
        <x:f>IF(O174="","",IF(O174&lt;=14,"Tier 1 - Minimal",IF(O174&lt;=21,"Tier 2 - Limited",IF(O174&lt;=28,"Tier 3 - High","Tier 4 - Critical"))))</x:f>
      </x:c>
      <x:c r="Q174" s="12"/>
      <x:c r="R174" s="12" t="str">
        <x:f>IF(O174="","",IF(Q174="Yes - Tier 4","Tier 4 - Critical",IF(Q174="Yes - Tier 3",IF(O174&lt;=28,"Tier 3 - High",P174),P174)))</x:f>
      </x:c>
      <x:c r="S174" s="12"/>
      <x:c r="T174" s="12"/>
      <x:c r="U174" s="12"/>
      <x:c r="V174" s="12"/>
      <x:c r="W174" s="12" t="str">
        <x:f>IF(V174="","",IF(V174&lt;=14,"Tier 1 - Minimal",IF(V174&lt;=21,"Tier 2 - Limited",IF(V174&lt;=28,"Tier 3 - High","Tier 4 - Critical"))))</x:f>
      </x:c>
      <x:c r="X174" s="12"/>
      <x:c r="Y174" s="12"/>
      <x:c r="Z174" s="14"/>
      <x:c r="AA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 t="n">
        <x:f>SUM(F175:N175)</x:f>
        <x:v>0</x:v>
      </x:c>
      <x:c r="P175" s="12" t="str">
        <x:f>IF(O175="","",IF(O175&lt;=14,"Tier 1 - Minimal",IF(O175&lt;=21,"Tier 2 - Limited",IF(O175&lt;=28,"Tier 3 - High","Tier 4 - Critical"))))</x:f>
      </x:c>
      <x:c r="Q175" s="12"/>
      <x:c r="R175" s="12" t="str">
        <x:f>IF(O175="","",IF(Q175="Yes - Tier 4","Tier 4 - Critical",IF(Q175="Yes - Tier 3",IF(O175&lt;=28,"Tier 3 - High",P175),P175)))</x:f>
      </x:c>
      <x:c r="S175" s="12"/>
      <x:c r="T175" s="12"/>
      <x:c r="U175" s="12"/>
      <x:c r="V175" s="12"/>
      <x:c r="W175" s="12" t="str">
        <x:f>IF(V175="","",IF(V175&lt;=14,"Tier 1 - Minimal",IF(V175&lt;=21,"Tier 2 - Limited",IF(V175&lt;=28,"Tier 3 - High","Tier 4 - Critical"))))</x:f>
      </x:c>
      <x:c r="X175" s="12"/>
      <x:c r="Y175" s="12"/>
      <x:c r="Z175" s="14"/>
      <x:c r="AA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 t="n">
        <x:f>SUM(F176:N176)</x:f>
        <x:v>0</x:v>
      </x:c>
      <x:c r="P176" s="12" t="str">
        <x:f>IF(O176="","",IF(O176&lt;=14,"Tier 1 - Minimal",IF(O176&lt;=21,"Tier 2 - Limited",IF(O176&lt;=28,"Tier 3 - High","Tier 4 - Critical"))))</x:f>
      </x:c>
      <x:c r="Q176" s="12"/>
      <x:c r="R176" s="12" t="str">
        <x:f>IF(O176="","",IF(Q176="Yes - Tier 4","Tier 4 - Critical",IF(Q176="Yes - Tier 3",IF(O176&lt;=28,"Tier 3 - High",P176),P176)))</x:f>
      </x:c>
      <x:c r="S176" s="12"/>
      <x:c r="T176" s="12"/>
      <x:c r="U176" s="12"/>
      <x:c r="V176" s="12"/>
      <x:c r="W176" s="12" t="str">
        <x:f>IF(V176="","",IF(V176&lt;=14,"Tier 1 - Minimal",IF(V176&lt;=21,"Tier 2 - Limited",IF(V176&lt;=28,"Tier 3 - High","Tier 4 - Critical"))))</x:f>
      </x:c>
      <x:c r="X176" s="12"/>
      <x:c r="Y176" s="12"/>
      <x:c r="Z176" s="14"/>
      <x:c r="AA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 t="n">
        <x:f>SUM(F177:N177)</x:f>
        <x:v>0</x:v>
      </x:c>
      <x:c r="P177" s="12" t="str">
        <x:f>IF(O177="","",IF(O177&lt;=14,"Tier 1 - Minimal",IF(O177&lt;=21,"Tier 2 - Limited",IF(O177&lt;=28,"Tier 3 - High","Tier 4 - Critical"))))</x:f>
      </x:c>
      <x:c r="Q177" s="12"/>
      <x:c r="R177" s="12" t="str">
        <x:f>IF(O177="","",IF(Q177="Yes - Tier 4","Tier 4 - Critical",IF(Q177="Yes - Tier 3",IF(O177&lt;=28,"Tier 3 - High",P177),P177)))</x:f>
      </x:c>
      <x:c r="S177" s="12"/>
      <x:c r="T177" s="12"/>
      <x:c r="U177" s="12"/>
      <x:c r="V177" s="12"/>
      <x:c r="W177" s="12" t="str">
        <x:f>IF(V177="","",IF(V177&lt;=14,"Tier 1 - Minimal",IF(V177&lt;=21,"Tier 2 - Limited",IF(V177&lt;=28,"Tier 3 - High","Tier 4 - Critical"))))</x:f>
      </x:c>
      <x:c r="X177" s="12"/>
      <x:c r="Y177" s="12"/>
      <x:c r="Z177" s="14"/>
      <x:c r="AA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 t="n">
        <x:f>SUM(F178:N178)</x:f>
        <x:v>0</x:v>
      </x:c>
      <x:c r="P178" s="12" t="str">
        <x:f>IF(O178="","",IF(O178&lt;=14,"Tier 1 - Minimal",IF(O178&lt;=21,"Tier 2 - Limited",IF(O178&lt;=28,"Tier 3 - High","Tier 4 - Critical"))))</x:f>
      </x:c>
      <x:c r="Q178" s="12"/>
      <x:c r="R178" s="12" t="str">
        <x:f>IF(O178="","",IF(Q178="Yes - Tier 4","Tier 4 - Critical",IF(Q178="Yes - Tier 3",IF(O178&lt;=28,"Tier 3 - High",P178),P178)))</x:f>
      </x:c>
      <x:c r="S178" s="12"/>
      <x:c r="T178" s="12"/>
      <x:c r="U178" s="12"/>
      <x:c r="V178" s="12"/>
      <x:c r="W178" s="12" t="str">
        <x:f>IF(V178="","",IF(V178&lt;=14,"Tier 1 - Minimal",IF(V178&lt;=21,"Tier 2 - Limited",IF(V178&lt;=28,"Tier 3 - High","Tier 4 - Critical"))))</x:f>
      </x:c>
      <x:c r="X178" s="12"/>
      <x:c r="Y178" s="12"/>
      <x:c r="Z178" s="14"/>
      <x:c r="AA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 t="n">
        <x:f>SUM(F179:N179)</x:f>
        <x:v>0</x:v>
      </x:c>
      <x:c r="P179" s="12" t="str">
        <x:f>IF(O179="","",IF(O179&lt;=14,"Tier 1 - Minimal",IF(O179&lt;=21,"Tier 2 - Limited",IF(O179&lt;=28,"Tier 3 - High","Tier 4 - Critical"))))</x:f>
      </x:c>
      <x:c r="Q179" s="12"/>
      <x:c r="R179" s="12" t="str">
        <x:f>IF(O179="","",IF(Q179="Yes - Tier 4","Tier 4 - Critical",IF(Q179="Yes - Tier 3",IF(O179&lt;=28,"Tier 3 - High",P179),P179)))</x:f>
      </x:c>
      <x:c r="S179" s="12"/>
      <x:c r="T179" s="12"/>
      <x:c r="U179" s="12"/>
      <x:c r="V179" s="12"/>
      <x:c r="W179" s="12" t="str">
        <x:f>IF(V179="","",IF(V179&lt;=14,"Tier 1 - Minimal",IF(V179&lt;=21,"Tier 2 - Limited",IF(V179&lt;=28,"Tier 3 - High","Tier 4 - Critical"))))</x:f>
      </x:c>
      <x:c r="X179" s="12"/>
      <x:c r="Y179" s="12"/>
      <x:c r="Z179" s="14"/>
      <x:c r="AA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 t="n">
        <x:f>SUM(F180:N180)</x:f>
        <x:v>0</x:v>
      </x:c>
      <x:c r="P180" s="12" t="str">
        <x:f>IF(O180="","",IF(O180&lt;=14,"Tier 1 - Minimal",IF(O180&lt;=21,"Tier 2 - Limited",IF(O180&lt;=28,"Tier 3 - High","Tier 4 - Critical"))))</x:f>
      </x:c>
      <x:c r="Q180" s="12"/>
      <x:c r="R180" s="12" t="str">
        <x:f>IF(O180="","",IF(Q180="Yes - Tier 4","Tier 4 - Critical",IF(Q180="Yes - Tier 3",IF(O180&lt;=28,"Tier 3 - High",P180),P180)))</x:f>
      </x:c>
      <x:c r="S180" s="12"/>
      <x:c r="T180" s="12"/>
      <x:c r="U180" s="12"/>
      <x:c r="V180" s="12"/>
      <x:c r="W180" s="12" t="str">
        <x:f>IF(V180="","",IF(V180&lt;=14,"Tier 1 - Minimal",IF(V180&lt;=21,"Tier 2 - Limited",IF(V180&lt;=28,"Tier 3 - High","Tier 4 - Critical"))))</x:f>
      </x:c>
      <x:c r="X180" s="12"/>
      <x:c r="Y180" s="12"/>
      <x:c r="Z180" s="14"/>
      <x:c r="AA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 t="n">
        <x:f>SUM(F181:N181)</x:f>
        <x:v>0</x:v>
      </x:c>
      <x:c r="P181" s="12" t="str">
        <x:f>IF(O181="","",IF(O181&lt;=14,"Tier 1 - Minimal",IF(O181&lt;=21,"Tier 2 - Limited",IF(O181&lt;=28,"Tier 3 - High","Tier 4 - Critical"))))</x:f>
      </x:c>
      <x:c r="Q181" s="12"/>
      <x:c r="R181" s="12" t="str">
        <x:f>IF(O181="","",IF(Q181="Yes - Tier 4","Tier 4 - Critical",IF(Q181="Yes - Tier 3",IF(O181&lt;=28,"Tier 3 - High",P181),P181)))</x:f>
      </x:c>
      <x:c r="S181" s="12"/>
      <x:c r="T181" s="12"/>
      <x:c r="U181" s="12"/>
      <x:c r="V181" s="12"/>
      <x:c r="W181" s="12" t="str">
        <x:f>IF(V181="","",IF(V181&lt;=14,"Tier 1 - Minimal",IF(V181&lt;=21,"Tier 2 - Limited",IF(V181&lt;=28,"Tier 3 - High","Tier 4 - Critical"))))</x:f>
      </x:c>
      <x:c r="X181" s="12"/>
      <x:c r="Y181" s="12"/>
      <x:c r="Z181" s="14"/>
      <x:c r="AA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 t="n">
        <x:f>SUM(F182:N182)</x:f>
        <x:v>0</x:v>
      </x:c>
      <x:c r="P182" s="12" t="str">
        <x:f>IF(O182="","",IF(O182&lt;=14,"Tier 1 - Minimal",IF(O182&lt;=21,"Tier 2 - Limited",IF(O182&lt;=28,"Tier 3 - High","Tier 4 - Critical"))))</x:f>
      </x:c>
      <x:c r="Q182" s="12"/>
      <x:c r="R182" s="12" t="str">
        <x:f>IF(O182="","",IF(Q182="Yes - Tier 4","Tier 4 - Critical",IF(Q182="Yes - Tier 3",IF(O182&lt;=28,"Tier 3 - High",P182),P182)))</x:f>
      </x:c>
      <x:c r="S182" s="12"/>
      <x:c r="T182" s="12"/>
      <x:c r="U182" s="12"/>
      <x:c r="V182" s="12"/>
      <x:c r="W182" s="12" t="str">
        <x:f>IF(V182="","",IF(V182&lt;=14,"Tier 1 - Minimal",IF(V182&lt;=21,"Tier 2 - Limited",IF(V182&lt;=28,"Tier 3 - High","Tier 4 - Critical"))))</x:f>
      </x:c>
      <x:c r="X182" s="12"/>
      <x:c r="Y182" s="12"/>
      <x:c r="Z182" s="14"/>
      <x:c r="AA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 t="n">
        <x:f>SUM(F183:N183)</x:f>
        <x:v>0</x:v>
      </x:c>
      <x:c r="P183" s="12" t="str">
        <x:f>IF(O183="","",IF(O183&lt;=14,"Tier 1 - Minimal",IF(O183&lt;=21,"Tier 2 - Limited",IF(O183&lt;=28,"Tier 3 - High","Tier 4 - Critical"))))</x:f>
      </x:c>
      <x:c r="Q183" s="12"/>
      <x:c r="R183" s="12" t="str">
        <x:f>IF(O183="","",IF(Q183="Yes - Tier 4","Tier 4 - Critical",IF(Q183="Yes - Tier 3",IF(O183&lt;=28,"Tier 3 - High",P183),P183)))</x:f>
      </x:c>
      <x:c r="S183" s="12"/>
      <x:c r="T183" s="12"/>
      <x:c r="U183" s="12"/>
      <x:c r="V183" s="12"/>
      <x:c r="W183" s="12" t="str">
        <x:f>IF(V183="","",IF(V183&lt;=14,"Tier 1 - Minimal",IF(V183&lt;=21,"Tier 2 - Limited",IF(V183&lt;=28,"Tier 3 - High","Tier 4 - Critical"))))</x:f>
      </x:c>
      <x:c r="X183" s="12"/>
      <x:c r="Y183" s="12"/>
      <x:c r="Z183" s="14"/>
      <x:c r="AA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 t="n">
        <x:f>SUM(F184:N184)</x:f>
        <x:v>0</x:v>
      </x:c>
      <x:c r="P184" s="12" t="str">
        <x:f>IF(O184="","",IF(O184&lt;=14,"Tier 1 - Minimal",IF(O184&lt;=21,"Tier 2 - Limited",IF(O184&lt;=28,"Tier 3 - High","Tier 4 - Critical"))))</x:f>
      </x:c>
      <x:c r="Q184" s="12"/>
      <x:c r="R184" s="12" t="str">
        <x:f>IF(O184="","",IF(Q184="Yes - Tier 4","Tier 4 - Critical",IF(Q184="Yes - Tier 3",IF(O184&lt;=28,"Tier 3 - High",P184),P184)))</x:f>
      </x:c>
      <x:c r="S184" s="12"/>
      <x:c r="T184" s="12"/>
      <x:c r="U184" s="12"/>
      <x:c r="V184" s="12"/>
      <x:c r="W184" s="12" t="str">
        <x:f>IF(V184="","",IF(V184&lt;=14,"Tier 1 - Minimal",IF(V184&lt;=21,"Tier 2 - Limited",IF(V184&lt;=28,"Tier 3 - High","Tier 4 - Critical"))))</x:f>
      </x:c>
      <x:c r="X184" s="12"/>
      <x:c r="Y184" s="12"/>
      <x:c r="Z184" s="14"/>
      <x:c r="AA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 t="n">
        <x:f>SUM(F185:N185)</x:f>
        <x:v>0</x:v>
      </x:c>
      <x:c r="P185" s="12" t="str">
        <x:f>IF(O185="","",IF(O185&lt;=14,"Tier 1 - Minimal",IF(O185&lt;=21,"Tier 2 - Limited",IF(O185&lt;=28,"Tier 3 - High","Tier 4 - Critical"))))</x:f>
      </x:c>
      <x:c r="Q185" s="12"/>
      <x:c r="R185" s="12" t="str">
        <x:f>IF(O185="","",IF(Q185="Yes - Tier 4","Tier 4 - Critical",IF(Q185="Yes - Tier 3",IF(O185&lt;=28,"Tier 3 - High",P185),P185)))</x:f>
      </x:c>
      <x:c r="S185" s="12"/>
      <x:c r="T185" s="12"/>
      <x:c r="U185" s="12"/>
      <x:c r="V185" s="12"/>
      <x:c r="W185" s="12" t="str">
        <x:f>IF(V185="","",IF(V185&lt;=14,"Tier 1 - Minimal",IF(V185&lt;=21,"Tier 2 - Limited",IF(V185&lt;=28,"Tier 3 - High","Tier 4 - Critical"))))</x:f>
      </x:c>
      <x:c r="X185" s="12"/>
      <x:c r="Y185" s="12"/>
      <x:c r="Z185" s="14"/>
      <x:c r="AA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 t="n">
        <x:f>SUM(F186:N186)</x:f>
        <x:v>0</x:v>
      </x:c>
      <x:c r="P186" s="12" t="str">
        <x:f>IF(O186="","",IF(O186&lt;=14,"Tier 1 - Minimal",IF(O186&lt;=21,"Tier 2 - Limited",IF(O186&lt;=28,"Tier 3 - High","Tier 4 - Critical"))))</x:f>
      </x:c>
      <x:c r="Q186" s="12"/>
      <x:c r="R186" s="12" t="str">
        <x:f>IF(O186="","",IF(Q186="Yes - Tier 4","Tier 4 - Critical",IF(Q186="Yes - Tier 3",IF(O186&lt;=28,"Tier 3 - High",P186),P186)))</x:f>
      </x:c>
      <x:c r="S186" s="12"/>
      <x:c r="T186" s="12"/>
      <x:c r="U186" s="12"/>
      <x:c r="V186" s="12"/>
      <x:c r="W186" s="12" t="str">
        <x:f>IF(V186="","",IF(V186&lt;=14,"Tier 1 - Minimal",IF(V186&lt;=21,"Tier 2 - Limited",IF(V186&lt;=28,"Tier 3 - High","Tier 4 - Critical"))))</x:f>
      </x:c>
      <x:c r="X186" s="12"/>
      <x:c r="Y186" s="12"/>
      <x:c r="Z186" s="14"/>
      <x:c r="AA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 t="n">
        <x:f>SUM(F187:N187)</x:f>
        <x:v>0</x:v>
      </x:c>
      <x:c r="P187" s="12" t="str">
        <x:f>IF(O187="","",IF(O187&lt;=14,"Tier 1 - Minimal",IF(O187&lt;=21,"Tier 2 - Limited",IF(O187&lt;=28,"Tier 3 - High","Tier 4 - Critical"))))</x:f>
      </x:c>
      <x:c r="Q187" s="12"/>
      <x:c r="R187" s="12" t="str">
        <x:f>IF(O187="","",IF(Q187="Yes - Tier 4","Tier 4 - Critical",IF(Q187="Yes - Tier 3",IF(O187&lt;=28,"Tier 3 - High",P187),P187)))</x:f>
      </x:c>
      <x:c r="S187" s="12"/>
      <x:c r="T187" s="12"/>
      <x:c r="U187" s="12"/>
      <x:c r="V187" s="12"/>
      <x:c r="W187" s="12" t="str">
        <x:f>IF(V187="","",IF(V187&lt;=14,"Tier 1 - Minimal",IF(V187&lt;=21,"Tier 2 - Limited",IF(V187&lt;=28,"Tier 3 - High","Tier 4 - Critical"))))</x:f>
      </x:c>
      <x:c r="X187" s="12"/>
      <x:c r="Y187" s="12"/>
      <x:c r="Z187" s="14"/>
      <x:c r="AA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 t="n">
        <x:f>SUM(F188:N188)</x:f>
        <x:v>0</x:v>
      </x:c>
      <x:c r="P188" s="12" t="str">
        <x:f>IF(O188="","",IF(O188&lt;=14,"Tier 1 - Minimal",IF(O188&lt;=21,"Tier 2 - Limited",IF(O188&lt;=28,"Tier 3 - High","Tier 4 - Critical"))))</x:f>
      </x:c>
      <x:c r="Q188" s="12"/>
      <x:c r="R188" s="12" t="str">
        <x:f>IF(O188="","",IF(Q188="Yes - Tier 4","Tier 4 - Critical",IF(Q188="Yes - Tier 3",IF(O188&lt;=28,"Tier 3 - High",P188),P188)))</x:f>
      </x:c>
      <x:c r="S188" s="12"/>
      <x:c r="T188" s="12"/>
      <x:c r="U188" s="12"/>
      <x:c r="V188" s="12"/>
      <x:c r="W188" s="12" t="str">
        <x:f>IF(V188="","",IF(V188&lt;=14,"Tier 1 - Minimal",IF(V188&lt;=21,"Tier 2 - Limited",IF(V188&lt;=28,"Tier 3 - High","Tier 4 - Critical"))))</x:f>
      </x:c>
      <x:c r="X188" s="12"/>
      <x:c r="Y188" s="12"/>
      <x:c r="Z188" s="14"/>
      <x:c r="AA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 t="n">
        <x:f>SUM(F189:N189)</x:f>
        <x:v>0</x:v>
      </x:c>
      <x:c r="P189" s="12" t="str">
        <x:f>IF(O189="","",IF(O189&lt;=14,"Tier 1 - Minimal",IF(O189&lt;=21,"Tier 2 - Limited",IF(O189&lt;=28,"Tier 3 - High","Tier 4 - Critical"))))</x:f>
      </x:c>
      <x:c r="Q189" s="12"/>
      <x:c r="R189" s="12" t="str">
        <x:f>IF(O189="","",IF(Q189="Yes - Tier 4","Tier 4 - Critical",IF(Q189="Yes - Tier 3",IF(O189&lt;=28,"Tier 3 - High",P189),P189)))</x:f>
      </x:c>
      <x:c r="S189" s="12"/>
      <x:c r="T189" s="12"/>
      <x:c r="U189" s="12"/>
      <x:c r="V189" s="12"/>
      <x:c r="W189" s="12" t="str">
        <x:f>IF(V189="","",IF(V189&lt;=14,"Tier 1 - Minimal",IF(V189&lt;=21,"Tier 2 - Limited",IF(V189&lt;=28,"Tier 3 - High","Tier 4 - Critical"))))</x:f>
      </x:c>
      <x:c r="X189" s="12"/>
      <x:c r="Y189" s="12"/>
      <x:c r="Z189" s="14"/>
      <x:c r="AA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 t="n">
        <x:f>SUM(F190:N190)</x:f>
        <x:v>0</x:v>
      </x:c>
      <x:c r="P190" s="12" t="str">
        <x:f>IF(O190="","",IF(O190&lt;=14,"Tier 1 - Minimal",IF(O190&lt;=21,"Tier 2 - Limited",IF(O190&lt;=28,"Tier 3 - High","Tier 4 - Critical"))))</x:f>
      </x:c>
      <x:c r="Q190" s="12"/>
      <x:c r="R190" s="12" t="str">
        <x:f>IF(O190="","",IF(Q190="Yes - Tier 4","Tier 4 - Critical",IF(Q190="Yes - Tier 3",IF(O190&lt;=28,"Tier 3 - High",P190),P190)))</x:f>
      </x:c>
      <x:c r="S190" s="12"/>
      <x:c r="T190" s="12"/>
      <x:c r="U190" s="12"/>
      <x:c r="V190" s="12"/>
      <x:c r="W190" s="12" t="str">
        <x:f>IF(V190="","",IF(V190&lt;=14,"Tier 1 - Minimal",IF(V190&lt;=21,"Tier 2 - Limited",IF(V190&lt;=28,"Tier 3 - High","Tier 4 - Critical"))))</x:f>
      </x:c>
      <x:c r="X190" s="12"/>
      <x:c r="Y190" s="12"/>
      <x:c r="Z190" s="14"/>
      <x:c r="AA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 t="n">
        <x:f>SUM(F191:N191)</x:f>
        <x:v>0</x:v>
      </x:c>
      <x:c r="P191" s="12" t="str">
        <x:f>IF(O191="","",IF(O191&lt;=14,"Tier 1 - Minimal",IF(O191&lt;=21,"Tier 2 - Limited",IF(O191&lt;=28,"Tier 3 - High","Tier 4 - Critical"))))</x:f>
      </x:c>
      <x:c r="Q191" s="12"/>
      <x:c r="R191" s="12" t="str">
        <x:f>IF(O191="","",IF(Q191="Yes - Tier 4","Tier 4 - Critical",IF(Q191="Yes - Tier 3",IF(O191&lt;=28,"Tier 3 - High",P191),P191)))</x:f>
      </x:c>
      <x:c r="S191" s="12"/>
      <x:c r="T191" s="12"/>
      <x:c r="U191" s="12"/>
      <x:c r="V191" s="12"/>
      <x:c r="W191" s="12" t="str">
        <x:f>IF(V191="","",IF(V191&lt;=14,"Tier 1 - Minimal",IF(V191&lt;=21,"Tier 2 - Limited",IF(V191&lt;=28,"Tier 3 - High","Tier 4 - Critical"))))</x:f>
      </x:c>
      <x:c r="X191" s="12"/>
      <x:c r="Y191" s="12"/>
      <x:c r="Z191" s="14"/>
      <x:c r="AA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 t="n">
        <x:f>SUM(F192:N192)</x:f>
        <x:v>0</x:v>
      </x:c>
      <x:c r="P192" s="12" t="str">
        <x:f>IF(O192="","",IF(O192&lt;=14,"Tier 1 - Minimal",IF(O192&lt;=21,"Tier 2 - Limited",IF(O192&lt;=28,"Tier 3 - High","Tier 4 - Critical"))))</x:f>
      </x:c>
      <x:c r="Q192" s="12"/>
      <x:c r="R192" s="12" t="str">
        <x:f>IF(O192="","",IF(Q192="Yes - Tier 4","Tier 4 - Critical",IF(Q192="Yes - Tier 3",IF(O192&lt;=28,"Tier 3 - High",P192),P192)))</x:f>
      </x:c>
      <x:c r="S192" s="12"/>
      <x:c r="T192" s="12"/>
      <x:c r="U192" s="12"/>
      <x:c r="V192" s="12"/>
      <x:c r="W192" s="12" t="str">
        <x:f>IF(V192="","",IF(V192&lt;=14,"Tier 1 - Minimal",IF(V192&lt;=21,"Tier 2 - Limited",IF(V192&lt;=28,"Tier 3 - High","Tier 4 - Critical"))))</x:f>
      </x:c>
      <x:c r="X192" s="12"/>
      <x:c r="Y192" s="12"/>
      <x:c r="Z192" s="14"/>
      <x:c r="AA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 t="n">
        <x:f>SUM(F193:N193)</x:f>
        <x:v>0</x:v>
      </x:c>
      <x:c r="P193" s="12" t="str">
        <x:f>IF(O193="","",IF(O193&lt;=14,"Tier 1 - Minimal",IF(O193&lt;=21,"Tier 2 - Limited",IF(O193&lt;=28,"Tier 3 - High","Tier 4 - Critical"))))</x:f>
      </x:c>
      <x:c r="Q193" s="12"/>
      <x:c r="R193" s="12" t="str">
        <x:f>IF(O193="","",IF(Q193="Yes - Tier 4","Tier 4 - Critical",IF(Q193="Yes - Tier 3",IF(O193&lt;=28,"Tier 3 - High",P193),P193)))</x:f>
      </x:c>
      <x:c r="S193" s="12"/>
      <x:c r="T193" s="12"/>
      <x:c r="U193" s="12"/>
      <x:c r="V193" s="12"/>
      <x:c r="W193" s="12" t="str">
        <x:f>IF(V193="","",IF(V193&lt;=14,"Tier 1 - Minimal",IF(V193&lt;=21,"Tier 2 - Limited",IF(V193&lt;=28,"Tier 3 - High","Tier 4 - Critical"))))</x:f>
      </x:c>
      <x:c r="X193" s="12"/>
      <x:c r="Y193" s="12"/>
      <x:c r="Z193" s="14"/>
      <x:c r="AA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 t="n">
        <x:f>SUM(F194:N194)</x:f>
        <x:v>0</x:v>
      </x:c>
      <x:c r="P194" s="12" t="str">
        <x:f>IF(O194="","",IF(O194&lt;=14,"Tier 1 - Minimal",IF(O194&lt;=21,"Tier 2 - Limited",IF(O194&lt;=28,"Tier 3 - High","Tier 4 - Critical"))))</x:f>
      </x:c>
      <x:c r="Q194" s="12"/>
      <x:c r="R194" s="12" t="str">
        <x:f>IF(O194="","",IF(Q194="Yes - Tier 4","Tier 4 - Critical",IF(Q194="Yes - Tier 3",IF(O194&lt;=28,"Tier 3 - High",P194),P194)))</x:f>
      </x:c>
      <x:c r="S194" s="12"/>
      <x:c r="T194" s="12"/>
      <x:c r="U194" s="12"/>
      <x:c r="V194" s="12"/>
      <x:c r="W194" s="12" t="str">
        <x:f>IF(V194="","",IF(V194&lt;=14,"Tier 1 - Minimal",IF(V194&lt;=21,"Tier 2 - Limited",IF(V194&lt;=28,"Tier 3 - High","Tier 4 - Critical"))))</x:f>
      </x:c>
      <x:c r="X194" s="12"/>
      <x:c r="Y194" s="12"/>
      <x:c r="Z194" s="14"/>
      <x:c r="AA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 t="n">
        <x:f>SUM(F195:N195)</x:f>
        <x:v>0</x:v>
      </x:c>
      <x:c r="P195" s="12" t="str">
        <x:f>IF(O195="","",IF(O195&lt;=14,"Tier 1 - Minimal",IF(O195&lt;=21,"Tier 2 - Limited",IF(O195&lt;=28,"Tier 3 - High","Tier 4 - Critical"))))</x:f>
      </x:c>
      <x:c r="Q195" s="12"/>
      <x:c r="R195" s="12" t="str">
        <x:f>IF(O195="","",IF(Q195="Yes - Tier 4","Tier 4 - Critical",IF(Q195="Yes - Tier 3",IF(O195&lt;=28,"Tier 3 - High",P195),P195)))</x:f>
      </x:c>
      <x:c r="S195" s="12"/>
      <x:c r="T195" s="12"/>
      <x:c r="U195" s="12"/>
      <x:c r="V195" s="12"/>
      <x:c r="W195" s="12" t="str">
        <x:f>IF(V195="","",IF(V195&lt;=14,"Tier 1 - Minimal",IF(V195&lt;=21,"Tier 2 - Limited",IF(V195&lt;=28,"Tier 3 - High","Tier 4 - Critical"))))</x:f>
      </x:c>
      <x:c r="X195" s="12"/>
      <x:c r="Y195" s="12"/>
      <x:c r="Z195" s="14"/>
      <x:c r="AA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 t="n">
        <x:f>SUM(F196:N196)</x:f>
        <x:v>0</x:v>
      </x:c>
      <x:c r="P196" s="12" t="str">
        <x:f>IF(O196="","",IF(O196&lt;=14,"Tier 1 - Minimal",IF(O196&lt;=21,"Tier 2 - Limited",IF(O196&lt;=28,"Tier 3 - High","Tier 4 - Critical"))))</x:f>
      </x:c>
      <x:c r="Q196" s="12"/>
      <x:c r="R196" s="12" t="str">
        <x:f>IF(O196="","",IF(Q196="Yes - Tier 4","Tier 4 - Critical",IF(Q196="Yes - Tier 3",IF(O196&lt;=28,"Tier 3 - High",P196),P196)))</x:f>
      </x:c>
      <x:c r="S196" s="12"/>
      <x:c r="T196" s="12"/>
      <x:c r="U196" s="12"/>
      <x:c r="V196" s="12"/>
      <x:c r="W196" s="12" t="str">
        <x:f>IF(V196="","",IF(V196&lt;=14,"Tier 1 - Minimal",IF(V196&lt;=21,"Tier 2 - Limited",IF(V196&lt;=28,"Tier 3 - High","Tier 4 - Critical"))))</x:f>
      </x:c>
      <x:c r="X196" s="12"/>
      <x:c r="Y196" s="12"/>
      <x:c r="Z196" s="14"/>
      <x:c r="AA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 t="n">
        <x:f>SUM(F197:N197)</x:f>
        <x:v>0</x:v>
      </x:c>
      <x:c r="P197" s="12" t="str">
        <x:f>IF(O197="","",IF(O197&lt;=14,"Tier 1 - Minimal",IF(O197&lt;=21,"Tier 2 - Limited",IF(O197&lt;=28,"Tier 3 - High","Tier 4 - Critical"))))</x:f>
      </x:c>
      <x:c r="Q197" s="12"/>
      <x:c r="R197" s="12" t="str">
        <x:f>IF(O197="","",IF(Q197="Yes - Tier 4","Tier 4 - Critical",IF(Q197="Yes - Tier 3",IF(O197&lt;=28,"Tier 3 - High",P197),P197)))</x:f>
      </x:c>
      <x:c r="S197" s="12"/>
      <x:c r="T197" s="12"/>
      <x:c r="U197" s="12"/>
      <x:c r="V197" s="12"/>
      <x:c r="W197" s="12" t="str">
        <x:f>IF(V197="","",IF(V197&lt;=14,"Tier 1 - Minimal",IF(V197&lt;=21,"Tier 2 - Limited",IF(V197&lt;=28,"Tier 3 - High","Tier 4 - Critical"))))</x:f>
      </x:c>
      <x:c r="X197" s="12"/>
      <x:c r="Y197" s="12"/>
      <x:c r="Z197" s="14"/>
      <x:c r="AA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 t="n">
        <x:f>SUM(F198:N198)</x:f>
        <x:v>0</x:v>
      </x:c>
      <x:c r="P198" s="12" t="str">
        <x:f>IF(O198="","",IF(O198&lt;=14,"Tier 1 - Minimal",IF(O198&lt;=21,"Tier 2 - Limited",IF(O198&lt;=28,"Tier 3 - High","Tier 4 - Critical"))))</x:f>
      </x:c>
      <x:c r="Q198" s="12"/>
      <x:c r="R198" s="12" t="str">
        <x:f>IF(O198="","",IF(Q198="Yes - Tier 4","Tier 4 - Critical",IF(Q198="Yes - Tier 3",IF(O198&lt;=28,"Tier 3 - High",P198),P198)))</x:f>
      </x:c>
      <x:c r="S198" s="12"/>
      <x:c r="T198" s="12"/>
      <x:c r="U198" s="12"/>
      <x:c r="V198" s="12"/>
      <x:c r="W198" s="12" t="str">
        <x:f>IF(V198="","",IF(V198&lt;=14,"Tier 1 - Minimal",IF(V198&lt;=21,"Tier 2 - Limited",IF(V198&lt;=28,"Tier 3 - High","Tier 4 - Critical"))))</x:f>
      </x:c>
      <x:c r="X198" s="12"/>
      <x:c r="Y198" s="12"/>
      <x:c r="Z198" s="14"/>
      <x:c r="AA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 t="n">
        <x:f>SUM(F199:N199)</x:f>
        <x:v>0</x:v>
      </x:c>
      <x:c r="P199" s="12" t="str">
        <x:f>IF(O199="","",IF(O199&lt;=14,"Tier 1 - Minimal",IF(O199&lt;=21,"Tier 2 - Limited",IF(O199&lt;=28,"Tier 3 - High","Tier 4 - Critical"))))</x:f>
      </x:c>
      <x:c r="Q199" s="12"/>
      <x:c r="R199" s="12" t="str">
        <x:f>IF(O199="","",IF(Q199="Yes - Tier 4","Tier 4 - Critical",IF(Q199="Yes - Tier 3",IF(O199&lt;=28,"Tier 3 - High",P199),P199)))</x:f>
      </x:c>
      <x:c r="S199" s="12"/>
      <x:c r="T199" s="12"/>
      <x:c r="U199" s="12"/>
      <x:c r="V199" s="12"/>
      <x:c r="W199" s="12" t="str">
        <x:f>IF(V199="","",IF(V199&lt;=14,"Tier 1 - Minimal",IF(V199&lt;=21,"Tier 2 - Limited",IF(V199&lt;=28,"Tier 3 - High","Tier 4 - Critical"))))</x:f>
      </x:c>
      <x:c r="X199" s="12"/>
      <x:c r="Y199" s="12"/>
      <x:c r="Z199" s="14"/>
      <x:c r="AA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 t="n">
        <x:f>SUM(F200:N200)</x:f>
        <x:v>0</x:v>
      </x:c>
      <x:c r="P200" s="12" t="str">
        <x:f>IF(O200="","",IF(O200&lt;=14,"Tier 1 - Minimal",IF(O200&lt;=21,"Tier 2 - Limited",IF(O200&lt;=28,"Tier 3 - High","Tier 4 - Critical"))))</x:f>
      </x:c>
      <x:c r="Q200" s="12"/>
      <x:c r="R200" s="12" t="str">
        <x:f>IF(O200="","",IF(Q200="Yes - Tier 4","Tier 4 - Critical",IF(Q200="Yes - Tier 3",IF(O200&lt;=28,"Tier 3 - High",P200),P200)))</x:f>
      </x:c>
      <x:c r="S200" s="12"/>
      <x:c r="T200" s="12"/>
      <x:c r="U200" s="12"/>
      <x:c r="V200" s="12"/>
      <x:c r="W200" s="12" t="str">
        <x:f>IF(V200="","",IF(V200&lt;=14,"Tier 1 - Minimal",IF(V200&lt;=21,"Tier 2 - Limited",IF(V200&lt;=28,"Tier 3 - High","Tier 4 - Critical"))))</x:f>
      </x:c>
      <x:c r="X200" s="12"/>
      <x:c r="Y200" s="12"/>
      <x:c r="Z200" s="14"/>
      <x:c r="AA200" s="12"/>
    </x:row>
  </x:sheetData>
  <x:conditionalFormatting sqref="O2:O2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V2:V2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R2:R200">
    <x:cfRule type="expression" dxfId="0" priority="3">
      <x:formula>R2="Tier 4 - Critical"</x:formula>
    </x:cfRule>
    <x:cfRule type="expression" dxfId="1" priority="4">
      <x:formula>R2="Tier 3 - High"</x:formula>
    </x:cfRule>
    <x:cfRule type="expression" dxfId="2" priority="5">
      <x:formula>R2="Tier 2 - Limited"</x:formula>
    </x:cfRule>
    <x:cfRule type="expression" dxfId="3" priority="6">
      <x:formula>R2="Tier 1 - Minimal"</x:formula>
    </x:cfRule>
  </x:conditionalFormatting>
  <x:dataValidations count="13">
    <x:dataValidation type="list" sqref="F2:F200">
      <x:formula1>"1,2,3,4"</x:formula1>
    </x:dataValidation>
    <x:dataValidation type="list" sqref="G2:G200">
      <x:formula1>"1,2,3,4"</x:formula1>
    </x:dataValidation>
    <x:dataValidation type="list" sqref="H2:H200">
      <x:formula1>"1,2,3,4"</x:formula1>
    </x:dataValidation>
    <x:dataValidation type="list" sqref="I2:I200">
      <x:formula1>"1,2,3,4"</x:formula1>
    </x:dataValidation>
    <x:dataValidation type="list" sqref="J2:J200">
      <x:formula1>"1,2,3,4"</x:formula1>
    </x:dataValidation>
    <x:dataValidation type="list" sqref="K2:K200">
      <x:formula1>"1,2,3,4"</x:formula1>
    </x:dataValidation>
    <x:dataValidation type="list" sqref="L2:L200">
      <x:formula1>"1,2,3,4"</x:formula1>
    </x:dataValidation>
    <x:dataValidation type="list" sqref="M2:M200">
      <x:formula1>"1,2,3,4"</x:formula1>
    </x:dataValidation>
    <x:dataValidation type="list" sqref="N2:N200">
      <x:formula1>"1,2,3,4"</x:formula1>
    </x:dataValidation>
    <x:dataValidation type="list" sqref="E2:E200">
      <x:formula1>"Proposed,Assessment,Approved,In Production"</x:formula1>
    </x:dataValidation>
    <x:dataValidation type="list" sqref="Q2:Q200">
      <x:formula1>"No,Yes - Tier 3,Yes - Tier 4,Review Required"</x:formula1>
    </x:dataValidation>
    <x:dataValidation type="list" sqref="U2:U200">
      <x:formula1>"Not Started,In Progress,Implemented,Accepted,Closed"</x:formula1>
    </x:dataValidation>
    <x:dataValidation type="list" sqref="Y2:Y200">
      <x:formula1>"Accept,Further Treatment Required,Escalate,Reject"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742d1414e745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22" hidden="0" customWidth="1"/>
    <x:col min="8" max="8" width="20" hidden="0" customWidth="1"/>
  </x:cols>
  <x:sheetData>
    <x:row r="1">
      <x:c r="A1" s="18" t="str">
        <x:v>ATG AI Risk Governance Dashboard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4">
      <x:c r="A4" s="6" t="str">
        <x:v>KPI</x:v>
      </x:c>
      <x:c r="B4" s="6" t="str">
        <x:v>Value</x:v>
      </x:c>
      <x:c r="C4" s="12"/>
      <x:c r="D4" s="6" t="str">
        <x:v>Inherent Risk Tier</x:v>
      </x:c>
      <x:c r="E4" s="6" t="str">
        <x:v>Count</x:v>
      </x:c>
      <x:c r="F4" s="12"/>
      <x:c r="G4" s="6" t="str">
        <x:v>Status</x:v>
      </x:c>
      <x:c r="H4" s="6" t="str">
        <x:v>Count</x:v>
      </x:c>
    </x:row>
    <x:row r="5">
      <x:c r="A5" s="12" t="str">
        <x:v>Registered AI Use Cases</x:v>
      </x:c>
      <x:c r="B5" s="12" t="n">
        <x:f>COUNTIF('AI Risk Register'!B2:B200,"&lt;&gt;")</x:f>
        <x:v>4</x:v>
      </x:c>
      <x:c r="C5" s="12"/>
      <x:c r="D5" s="12" t="str">
        <x:v>Tier 1 - Minimal</x:v>
      </x:c>
      <x:c r="E5" s="12" t="n">
        <x:f>COUNTIF('AI Risk Register'!R2:R200,D5)</x:f>
        <x:v>2</x:v>
      </x:c>
      <x:c r="F5" s="12"/>
      <x:c r="G5" s="12" t="str">
        <x:v>Proposed</x:v>
      </x:c>
      <x:c r="H5" s="12" t="n">
        <x:f>COUNTIF('AI Risk Register'!E2:E200,G5)</x:f>
        <x:v>1</x:v>
      </x:c>
    </x:row>
    <x:row r="6">
      <x:c r="A6" s="12" t="str">
        <x:v>High / Critical Inherent</x:v>
      </x:c>
      <x:c r="B6" s="12" t="n">
        <x:f>COUNTIF('AI Risk Register'!R2:R200,"Tier 3 - High")+COUNTIF('AI Risk Register'!R2:R200,"Tier 4 - Critical")</x:f>
        <x:v>2</x:v>
      </x:c>
      <x:c r="C6" s="12"/>
      <x:c r="D6" s="12" t="str">
        <x:v>Tier 2 - Limited</x:v>
      </x:c>
      <x:c r="E6" s="12" t="n">
        <x:f>COUNTIF('AI Risk Register'!R2:R200,D6)</x:f>
        <x:v>0</x:v>
      </x:c>
      <x:c r="F6" s="12"/>
      <x:c r="G6" s="12" t="str">
        <x:v>Assessment</x:v>
      </x:c>
      <x:c r="H6" s="12" t="n">
        <x:f>COUNTIF('AI Risk Register'!E2:E200,G6)</x:f>
        <x:v>1</x:v>
      </x:c>
    </x:row>
    <x:row r="7">
      <x:c r="A7" s="12" t="str">
        <x:v>Open Treatments</x:v>
      </x:c>
      <x:c r="B7" s="12" t="n">
        <x:f>COUNTIF('AI Risk Register'!U2:U200,"Not Started")+COUNTIF('AI Risk Register'!U2:U200,"In Progress")</x:f>
        <x:v>2</x:v>
      </x:c>
      <x:c r="C7" s="12"/>
      <x:c r="D7" s="12" t="str">
        <x:v>Tier 3 - High</x:v>
      </x:c>
      <x:c r="E7" s="12" t="n">
        <x:f>COUNTIF('AI Risk Register'!R2:R200,D7)</x:f>
        <x:v>1</x:v>
      </x:c>
      <x:c r="F7" s="12"/>
      <x:c r="G7" s="12" t="str">
        <x:v>Approved</x:v>
      </x:c>
      <x:c r="H7" s="12" t="n">
        <x:f>COUNTIF('AI Risk Register'!E2:E200,G7)</x:f>
        <x:v>1</x:v>
      </x:c>
    </x:row>
    <x:row r="8">
      <x:c r="A8" s="12" t="str">
        <x:v>Upcoming Reviews (90 days)</x:v>
      </x:c>
      <x:c r="B8" s="12" t="n">
        <x:f>COUNTIFS('AI Risk Register'!Z2:Z200,"&gt;="&amp;TODAY(),'AI Risk Register'!Z2:Z200,"&lt;="&amp;TODAY()+90)</x:f>
        <x:v>2</x:v>
      </x:c>
      <x:c r="C8" s="12"/>
      <x:c r="D8" s="12" t="str">
        <x:v>Tier 4 - Critical</x:v>
      </x:c>
      <x:c r="E8" s="12" t="n">
        <x:f>COUNTIF('AI Risk Register'!R2:R200,D8)</x:f>
        <x:v>1</x:v>
      </x:c>
      <x:c r="F8" s="12"/>
      <x:c r="G8" s="12" t="str">
        <x:v>In Production</x:v>
      </x:c>
      <x:c r="H8" s="12" t="n">
        <x:f>COUNTIF('AI Risk Register'!E2:E200,G8)</x:f>
        <x:v>1</x:v>
      </x:c>
    </x:row>
    <x:row r="9">
      <x:c r="A9" s="12"/>
      <x:c r="B9" s="12"/>
      <x:c r="C9" s="12"/>
      <x:c r="D9" s="12"/>
      <x:c r="E9" s="12"/>
      <x:c r="F9" s="12"/>
      <x:c r="G9" s="12" t="str">
        <x:v>Total</x:v>
      </x:c>
      <x:c r="H9" s="12" t="n">
        <x:f>SUM(H5:H8)</x:f>
        <x:v>4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e1008138b1184614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6" t="str">
        <x:v>AI Risk Assessment Guide</x:v>
      </x:c>
      <x:c r="B1" s="6" t="str">
        <x:v>Purpose / scoring criteria</x:v>
      </x:c>
    </x:row>
    <x:row r="2">
      <x:c r="A2" s="12" t="str">
        <x:v>Data Sensitivity</x:v>
      </x:c>
      <x:c r="B2" s="12" t="str">
        <x:v>1 Public/non-sensitive; 2 Internal; 3 Confidential/personal; 4 Highly sensitive/security/safety-critical</x:v>
      </x:c>
    </x:row>
    <x:row r="3">
      <x:c r="A3" s="12" t="str">
        <x:v>Decision Impact</x:v>
      </x:c>
      <x:c r="B3" s="12" t="str">
        <x:v>1 Informational; 2 Internal decision support; 3 Material customer/employee/financial/operational influence; 4 High-impact/safety-critical decisions</x:v>
      </x:c>
    </x:row>
    <x:row r="4">
      <x:c r="A4" s="12" t="str">
        <x:v>AI Autonomy</x:v>
      </x:c>
      <x:c r="B4" s="12" t="str">
        <x:v>1 Information only; 2 Recommendations with approval; 3 Defined actions with limited intervention; 4 Autonomous actions across systems</x:v>
      </x:c>
    </x:row>
    <x:row r="5">
      <x:c r="A5" s="12" t="str">
        <x:v>Cybersecurity Exposure</x:v>
      </x:c>
      <x:c r="B5" s="12" t="str">
        <x:v>1 Isolated; 2 Internal enterprise; 3 Sensitive integrations/external service; 4 Privileged/critical/high external exposure</x:v>
      </x:c>
    </x:row>
    <x:row r="6">
      <x:c r="A6" s="12" t="str">
        <x:v>Privacy Impact</x:v>
      </x:c>
      <x:c r="B6" s="12" t="str">
        <x:v>1 None; 2 Limited personal info; 3 Significant personal/sensitive info; 4 Large-scale/high-impact sensitive processing</x:v>
      </x:c>
    </x:row>
    <x:row r="7">
      <x:c r="A7" s="12" t="str">
        <x:v>Safety / Operational Impact</x:v>
      </x:c>
      <x:c r="B7" s="12" t="str">
        <x:v>1 None; 2 Limited disruption; 3 Significant service impact; 4 Safety-critical/critical infrastructure</x:v>
      </x:c>
    </x:row>
    <x:row r="8">
      <x:c r="A8" s="12" t="str">
        <x:v>Regulatory Impact</x:v>
      </x:c>
      <x:c r="B8" s="12" t="str">
        <x:v>1 Minimal; 2 Existing obligations; 3 Material regulatory/contractual; 4 Significant legal/critical-infrastructure obligations</x:v>
      </x:c>
    </x:row>
    <x:row r="9">
      <x:c r="A9" s="12" t="str">
        <x:v>External Exposure</x:v>
      </x:c>
      <x:c r="B9" s="12" t="str">
        <x:v>1 Restricted internal; 2 Broad internal; 3 Partners/customers; 4 Public/large-scale external</x:v>
      </x:c>
    </x:row>
    <x:row r="10">
      <x:c r="A10" s="12" t="str">
        <x:v>Third-Party Dependency</x:v>
      </x:c>
      <x:c r="B10" s="12" t="str">
        <x:v>1 Internally controlled; 2 Established enterprise provider; 3 Material external dependency; 4 Critical dependency with limited transparency/control</x:v>
      </x:c>
    </x:row>
    <x:row r="11">
      <x:c r="A11" s="12" t="str">
        <x:v>Base Tier</x:v>
      </x:c>
      <x:c r="B11" s="12" t="str">
        <x:v>9–14 Tier 1; 15–21 Tier 2; 22–28 Tier 3; 29–36 Tier 4</x:v>
      </x:c>
    </x:row>
    <x:row r="12">
      <x:c r="A12" s="12" t="str">
        <x:v>Elevation</x:v>
      </x:c>
      <x:c r="B12" s="12" t="str">
        <x:v>Use Tier 3/4 elevation for safety-critical actions, critical infrastructure, high-impact autonomous decisions, privileged access or similar material triggers.</x:v>
      </x:c>
    </x:row>
    <x:row r="13">
      <x:c r="A13" s="12" t="str">
        <x:v>Residual Risk</x:v>
      </x:c>
      <x:c r="B13" s="12" t="str">
        <x:v>Enter a residual score after controls are implemented/assured. Residual tier is calculated automatically.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0.630000114440918" hidden="0" customWidth="1"/>
    <x:col min="3" max="3" width="13.630000114440918" hidden="0" customWidth="1"/>
    <x:col min="4" max="4" width="21.3799991607666" hidden="0" customWidth="1"/>
    <x:col min="5" max="5" width="13" hidden="0" customWidth="1"/>
    <x:col min="6" max="6" width="12.25" hidden="0" customWidth="1"/>
  </x:cols>
  <x:sheetData>
    <x:row r="1">
      <x:c r="A1" s="6" t="str">
        <x:v>Risk Score</x:v>
      </x:c>
      <x:c r="B1" s="6" t="str">
        <x:v>Status</x:v>
      </x:c>
      <x:c r="C1" s="6" t="str">
        <x:v>Treatment Status</x:v>
      </x:c>
      <x:c r="D1" s="6" t="str">
        <x:v>Decision</x:v>
      </x:c>
      <x:c r="E1" s="6" t="str">
        <x:v>Elevation</x:v>
      </x:c>
      <x:c r="F1" s="6" t="str">
        <x:v>Risk Tier</x:v>
      </x:c>
    </x:row>
    <x:row r="2">
      <x:c r="A2" t="n">
        <x:v>1</x:v>
      </x:c>
      <x:c r="B2" t="str">
        <x:v>Proposed</x:v>
      </x:c>
      <x:c r="C2" t="str">
        <x:v>Not Started</x:v>
      </x:c>
      <x:c r="D2" t="str">
        <x:v>Accept</x:v>
      </x:c>
      <x:c r="E2" t="str">
        <x:v>No</x:v>
      </x:c>
      <x:c r="F2" t="str">
        <x:v>Tier 1 - Minimal</x:v>
      </x:c>
    </x:row>
    <x:row r="3">
      <x:c r="A3" t="n">
        <x:v>2</x:v>
      </x:c>
      <x:c r="B3" t="str">
        <x:v>Assessment</x:v>
      </x:c>
      <x:c r="C3" t="str">
        <x:v>In Progress</x:v>
      </x:c>
      <x:c r="D3" t="str">
        <x:v>Further Treatment Required</x:v>
      </x:c>
      <x:c r="E3" t="str">
        <x:v>Yes - Tier 3</x:v>
      </x:c>
      <x:c r="F3" t="str">
        <x:v>Tier 2 - Limited</x:v>
      </x:c>
    </x:row>
    <x:row r="4">
      <x:c r="A4" t="n">
        <x:v>3</x:v>
      </x:c>
      <x:c r="B4" t="str">
        <x:v>Approved</x:v>
      </x:c>
      <x:c r="C4" t="str">
        <x:v>Implemented</x:v>
      </x:c>
      <x:c r="D4" t="str">
        <x:v>Escalate</x:v>
      </x:c>
      <x:c r="E4" t="str">
        <x:v>Yes - Tier 4</x:v>
      </x:c>
      <x:c r="F4" t="str">
        <x:v>Tier 3 - High</x:v>
      </x:c>
    </x:row>
    <x:row r="5">
      <x:c r="A5" t="n">
        <x:v>4</x:v>
      </x:c>
      <x:c r="B5" t="str">
        <x:v>In Production</x:v>
      </x:c>
      <x:c r="C5" t="str">
        <x:v>Accepted</x:v>
      </x:c>
      <x:c r="D5" t="str">
        <x:v>Reject</x:v>
      </x:c>
      <x:c r="E5" t="str">
        <x:v>Review Required</x:v>
      </x:c>
      <x:c r="F5" t="str">
        <x:v>Tier 4 - Critical</x:v>
      </x:c>
    </x:row>
    <x:row r="6">
      <x:c r="C6" t="str">
        <x:v>Closed</x:v>
      </x:c>
    </x:row>
  </x:sheetData>
  <x:pageMargins left="0.7" right="0.7" top="0.75" bottom="0.75" header="0.3" footer="0.3"/>
</x:worksheet>
</file>